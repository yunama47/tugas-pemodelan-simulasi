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hyupurnama\OneDrive\Desktop\kuliah\semester 7\pemodelan simulasi (pak purna)\"/>
    </mc:Choice>
  </mc:AlternateContent>
  <xr:revisionPtr revIDLastSave="0" documentId="13_ncr:1_{2477A4B5-BCC9-4B7F-9DA1-E71201913F2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chart.v1.0" hidden="1">Sheet2!$O$7:$O$506</definedName>
    <definedName name="_xlchart.v1.1" hidden="1">Sheet2!$K$7:$K$206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3" l="1"/>
  <c r="L2" i="3"/>
  <c r="F3" i="3" a="1"/>
  <c r="F3" i="3" s="1"/>
  <c r="F4" i="3" a="1"/>
  <c r="F4" i="3" s="1"/>
  <c r="F5" i="3" a="1"/>
  <c r="F5" i="3" s="1"/>
  <c r="F6" i="3" a="1"/>
  <c r="F6" i="3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/>
  <c r="F14" i="3" a="1"/>
  <c r="F14" i="3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/>
  <c r="F21" i="3" a="1"/>
  <c r="F21" i="3" s="1"/>
  <c r="F2" i="3" a="1"/>
  <c r="F2" i="3" s="1"/>
  <c r="K2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V16" i="2" a="1"/>
  <c r="V16" i="2" s="1"/>
  <c r="V14" i="2" a="1"/>
  <c r="V14" i="2" s="1"/>
  <c r="V6" i="2" a="1"/>
  <c r="V6" i="2" s="1"/>
  <c r="V3" i="2"/>
  <c r="B9" i="1"/>
  <c r="I4" i="1"/>
  <c r="C20" i="2"/>
  <c r="C21" i="2" s="1"/>
  <c r="C22" i="2" s="1"/>
  <c r="C23" i="2" s="1"/>
  <c r="C12" i="2"/>
  <c r="C13" i="2" s="1"/>
  <c r="C14" i="2" s="1"/>
  <c r="C15" i="2" s="1"/>
  <c r="C5" i="2"/>
  <c r="C6" i="2" s="1"/>
  <c r="C7" i="2" s="1"/>
  <c r="I5" i="1"/>
  <c r="L3" i="1"/>
  <c r="C4" i="1"/>
  <c r="C5" i="1" s="1"/>
  <c r="C6" i="1" s="1"/>
  <c r="C7" i="1" s="1"/>
  <c r="C8" i="1" s="1"/>
  <c r="J77" i="1"/>
  <c r="J102" i="1"/>
  <c r="J55" i="1"/>
  <c r="J56" i="1"/>
  <c r="J48" i="1"/>
  <c r="J60" i="1"/>
  <c r="J70" i="1"/>
  <c r="J34" i="1"/>
  <c r="J44" i="1"/>
  <c r="J71" i="1"/>
  <c r="J80" i="1"/>
  <c r="J54" i="1"/>
  <c r="J25" i="1"/>
  <c r="J101" i="1"/>
  <c r="J13" i="1"/>
  <c r="J63" i="1"/>
  <c r="J10" i="1"/>
  <c r="J87" i="1"/>
  <c r="J6" i="1"/>
  <c r="J59" i="1"/>
  <c r="J96" i="1"/>
  <c r="J7" i="1"/>
  <c r="J17" i="1"/>
  <c r="J15" i="1"/>
  <c r="J23" i="1"/>
  <c r="J91" i="1"/>
  <c r="J47" i="1"/>
  <c r="J93" i="1"/>
  <c r="J100" i="1"/>
  <c r="J19" i="1"/>
  <c r="J73" i="1"/>
  <c r="J21" i="1"/>
  <c r="J86" i="1"/>
  <c r="J84" i="1"/>
  <c r="J58" i="1"/>
  <c r="J61" i="1"/>
  <c r="J28" i="1"/>
  <c r="J98" i="1"/>
  <c r="J67" i="1"/>
  <c r="J74" i="1"/>
  <c r="J75" i="1"/>
  <c r="J64" i="1"/>
  <c r="J81" i="1"/>
  <c r="J69" i="1"/>
  <c r="J43" i="1"/>
  <c r="J3" i="1"/>
  <c r="J94" i="1"/>
  <c r="J33" i="1"/>
  <c r="J27" i="1"/>
  <c r="J35" i="1"/>
  <c r="J29" i="1"/>
  <c r="J57" i="1"/>
  <c r="J42" i="1"/>
  <c r="J11" i="1"/>
  <c r="J32" i="1"/>
  <c r="J62" i="1"/>
  <c r="J49" i="1"/>
  <c r="J82" i="1"/>
  <c r="J72" i="1"/>
  <c r="J53" i="1"/>
  <c r="J76" i="1"/>
  <c r="J30" i="1"/>
  <c r="J8" i="1"/>
  <c r="J95" i="1"/>
  <c r="J31" i="1"/>
  <c r="J16" i="1"/>
  <c r="J97" i="1"/>
  <c r="J88" i="1"/>
  <c r="J14" i="1"/>
  <c r="J68" i="1"/>
  <c r="J38" i="1"/>
  <c r="J36" i="1"/>
  <c r="J39" i="1"/>
  <c r="J40" i="1"/>
  <c r="J46" i="1"/>
  <c r="J99" i="1"/>
  <c r="J92" i="1"/>
  <c r="J65" i="1"/>
  <c r="J24" i="1"/>
  <c r="J41" i="1"/>
  <c r="J51" i="1"/>
  <c r="J37" i="1"/>
  <c r="J45" i="1"/>
  <c r="J22" i="1"/>
  <c r="J66" i="1"/>
  <c r="J26" i="1"/>
  <c r="J89" i="1"/>
  <c r="J79" i="1"/>
  <c r="J12" i="1"/>
  <c r="J83" i="1"/>
  <c r="J18" i="1"/>
  <c r="J50" i="1"/>
  <c r="J78" i="1"/>
  <c r="J52" i="1"/>
  <c r="J5" i="1"/>
  <c r="J9" i="1"/>
  <c r="J85" i="1"/>
  <c r="J90" i="1"/>
  <c r="J20" i="1"/>
  <c r="J4" i="1"/>
  <c r="F63" i="2"/>
  <c r="F157" i="2"/>
  <c r="F193" i="2"/>
  <c r="F158" i="2"/>
  <c r="F143" i="2"/>
  <c r="F187" i="2"/>
  <c r="F106" i="2"/>
  <c r="F116" i="2"/>
  <c r="F117" i="2"/>
  <c r="F113" i="2"/>
  <c r="F172" i="2"/>
  <c r="F14" i="2"/>
  <c r="F142" i="2"/>
  <c r="F89" i="2"/>
  <c r="F171" i="2"/>
  <c r="F53" i="2"/>
  <c r="F166" i="2"/>
  <c r="F176" i="2"/>
  <c r="F33" i="2"/>
  <c r="F17" i="2"/>
  <c r="F65" i="2"/>
  <c r="F43" i="2"/>
  <c r="F72" i="2"/>
  <c r="F200" i="2"/>
  <c r="F73" i="2"/>
  <c r="F20" i="2"/>
  <c r="F190" i="2"/>
  <c r="F92" i="2"/>
  <c r="F151" i="2"/>
  <c r="F82" i="2"/>
  <c r="F77" i="2"/>
  <c r="F31" i="2"/>
  <c r="F107" i="2"/>
  <c r="F18" i="2"/>
  <c r="F135" i="2"/>
  <c r="F79" i="2"/>
  <c r="F161" i="2"/>
  <c r="F120" i="2"/>
  <c r="F30" i="2"/>
  <c r="F147" i="2"/>
  <c r="F165" i="2"/>
  <c r="F76" i="2"/>
  <c r="F37" i="2"/>
  <c r="F105" i="2"/>
  <c r="F25" i="2"/>
  <c r="F112" i="2"/>
  <c r="F173" i="2"/>
  <c r="F88" i="2"/>
  <c r="F146" i="2"/>
  <c r="F26" i="2"/>
  <c r="F132" i="2"/>
  <c r="F69" i="2"/>
  <c r="F11" i="2"/>
  <c r="F55" i="2"/>
  <c r="F118" i="2"/>
  <c r="F42" i="2"/>
  <c r="F125" i="2"/>
  <c r="F87" i="2"/>
  <c r="F47" i="2"/>
  <c r="F149" i="2"/>
  <c r="F9" i="2"/>
  <c r="F52" i="2"/>
  <c r="F71" i="2"/>
  <c r="F175" i="2"/>
  <c r="F177" i="2"/>
  <c r="F102" i="2"/>
  <c r="F189" i="2"/>
  <c r="F50" i="2"/>
  <c r="F59" i="2"/>
  <c r="F46" i="2"/>
  <c r="F91" i="2"/>
  <c r="F39" i="2"/>
  <c r="F8" i="2"/>
  <c r="F123" i="2"/>
  <c r="F86" i="2"/>
  <c r="F122" i="2"/>
  <c r="F202" i="2"/>
  <c r="F206" i="2"/>
  <c r="F51" i="2"/>
  <c r="F131" i="2"/>
  <c r="F101" i="2"/>
  <c r="F70" i="2"/>
  <c r="F109" i="2"/>
  <c r="F195" i="2"/>
  <c r="F145" i="2"/>
  <c r="F93" i="2"/>
  <c r="F16" i="2"/>
  <c r="F40" i="2"/>
  <c r="F90" i="2"/>
  <c r="F134" i="2"/>
  <c r="F104" i="2"/>
  <c r="F28" i="2"/>
  <c r="F27" i="2"/>
  <c r="F197" i="2"/>
  <c r="F75" i="2"/>
  <c r="F170" i="2"/>
  <c r="F49" i="2"/>
  <c r="F155" i="2"/>
  <c r="F103" i="2"/>
  <c r="F23" i="2"/>
  <c r="F186" i="2"/>
  <c r="F129" i="2"/>
  <c r="F54" i="2"/>
  <c r="F80" i="2"/>
  <c r="F191" i="2"/>
  <c r="F66" i="2"/>
  <c r="F153" i="2"/>
  <c r="F196" i="2"/>
  <c r="F60" i="2"/>
  <c r="F139" i="2"/>
  <c r="F34" i="2"/>
  <c r="F44" i="2"/>
  <c r="F56" i="2"/>
  <c r="F182" i="2"/>
  <c r="F181" i="2"/>
  <c r="F68" i="2"/>
  <c r="F111" i="2"/>
  <c r="F203" i="2"/>
  <c r="F133" i="2"/>
  <c r="F163" i="2"/>
  <c r="F62" i="2"/>
  <c r="F164" i="2"/>
  <c r="F95" i="2"/>
  <c r="F148" i="2"/>
  <c r="F15" i="2"/>
  <c r="F108" i="2"/>
  <c r="F174" i="2"/>
  <c r="F141" i="2"/>
  <c r="F32" i="2"/>
  <c r="F29" i="2"/>
  <c r="F100" i="2"/>
  <c r="F99" i="2"/>
  <c r="F205" i="2"/>
  <c r="F144" i="2"/>
  <c r="F167" i="2"/>
  <c r="F128" i="2"/>
  <c r="F130" i="2"/>
  <c r="F198" i="2"/>
  <c r="F36" i="2"/>
  <c r="F152" i="2"/>
  <c r="F10" i="2"/>
  <c r="F137" i="2"/>
  <c r="F204" i="2"/>
  <c r="F178" i="2"/>
  <c r="F188" i="2"/>
  <c r="F57" i="2"/>
  <c r="F126" i="2"/>
  <c r="F179" i="2"/>
  <c r="F78" i="2"/>
  <c r="F150" i="2"/>
  <c r="F194" i="2"/>
  <c r="F24" i="2"/>
  <c r="F169" i="2"/>
  <c r="F58" i="2"/>
  <c r="F136" i="2"/>
  <c r="F168" i="2"/>
  <c r="F67" i="2"/>
  <c r="F85" i="2"/>
  <c r="F192" i="2"/>
  <c r="F84" i="2"/>
  <c r="F115" i="2"/>
  <c r="F74" i="2"/>
  <c r="F159" i="2"/>
  <c r="F21" i="2"/>
  <c r="F96" i="2"/>
  <c r="F162" i="2"/>
  <c r="F119" i="2"/>
  <c r="F98" i="2"/>
  <c r="F13" i="2"/>
  <c r="F94" i="2"/>
  <c r="F160" i="2"/>
  <c r="F184" i="2"/>
  <c r="F22" i="2"/>
  <c r="F45" i="2"/>
  <c r="F114" i="2"/>
  <c r="F41" i="2"/>
  <c r="F124" i="2"/>
  <c r="F38" i="2"/>
  <c r="F61" i="2"/>
  <c r="F12" i="2"/>
  <c r="F199" i="2"/>
  <c r="F35" i="2"/>
  <c r="F140" i="2"/>
  <c r="F180" i="2"/>
  <c r="F138" i="2"/>
  <c r="F154" i="2"/>
  <c r="F185" i="2"/>
  <c r="F121" i="2"/>
  <c r="F83" i="2"/>
  <c r="F19" i="2"/>
  <c r="F156" i="2"/>
  <c r="F110" i="2"/>
  <c r="F201" i="2"/>
  <c r="F97" i="2"/>
  <c r="F127" i="2"/>
  <c r="F81" i="2"/>
  <c r="F48" i="2"/>
  <c r="F183" i="2"/>
  <c r="J7" i="2"/>
  <c r="F64" i="2"/>
  <c r="I8" i="2"/>
  <c r="K7" i="2"/>
  <c r="M7" i="2" l="1"/>
  <c r="V4" i="2"/>
  <c r="L7" i="2"/>
  <c r="O7" i="2" s="1"/>
  <c r="R7" i="2" s="1"/>
  <c r="N7" i="2"/>
  <c r="K4" i="1"/>
  <c r="N3" i="1"/>
  <c r="G8" i="2"/>
  <c r="C15" i="1"/>
  <c r="I6" i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C13" i="1"/>
  <c r="C12" i="1"/>
  <c r="M3" i="1"/>
  <c r="H8" i="2"/>
  <c r="G9" i="2" l="1"/>
  <c r="G10" i="2" s="1"/>
  <c r="O4" i="1"/>
  <c r="L4" i="1"/>
  <c r="K5" i="1"/>
  <c r="L5" i="1" s="1"/>
  <c r="N5" i="1" s="1"/>
  <c r="M4" i="1"/>
  <c r="J8" i="2"/>
  <c r="K8" i="2" s="1"/>
  <c r="L8" i="2" l="1"/>
  <c r="O8" i="2" s="1"/>
  <c r="N4" i="1"/>
  <c r="K6" i="1"/>
  <c r="L6" i="1" s="1"/>
  <c r="N6" i="1" s="1"/>
  <c r="O5" i="1"/>
  <c r="M5" i="1"/>
  <c r="I9" i="2"/>
  <c r="H9" i="2"/>
  <c r="I10" i="2" s="1"/>
  <c r="J9" i="2"/>
  <c r="K9" i="2" s="1"/>
  <c r="H10" i="2" s="1"/>
  <c r="R8" i="2" l="1"/>
  <c r="L9" i="2"/>
  <c r="O9" i="2" s="1"/>
  <c r="G11" i="2"/>
  <c r="O6" i="1"/>
  <c r="K7" i="1"/>
  <c r="L7" i="1" s="1"/>
  <c r="M6" i="1"/>
  <c r="J10" i="2"/>
  <c r="K10" i="2" s="1"/>
  <c r="H11" i="2"/>
  <c r="I11" i="2"/>
  <c r="I12" i="2" s="1"/>
  <c r="L10" i="2" l="1"/>
  <c r="O10" i="2" s="1"/>
  <c r="R9" i="2"/>
  <c r="G12" i="2"/>
  <c r="N7" i="1"/>
  <c r="O7" i="1"/>
  <c r="K8" i="1"/>
  <c r="L8" i="1" s="1"/>
  <c r="M7" i="1"/>
  <c r="R10" i="2" l="1"/>
  <c r="G13" i="2"/>
  <c r="N8" i="1"/>
  <c r="O8" i="1"/>
  <c r="K9" i="1"/>
  <c r="L9" i="1" s="1"/>
  <c r="M8" i="1"/>
  <c r="J11" i="2"/>
  <c r="K11" i="2"/>
  <c r="H12" i="2"/>
  <c r="I13" i="2" s="1"/>
  <c r="L11" i="2" l="1"/>
  <c r="O11" i="2" s="1"/>
  <c r="R11" i="2" s="1"/>
  <c r="G14" i="2"/>
  <c r="N9" i="1"/>
  <c r="O9" i="1"/>
  <c r="K10" i="1"/>
  <c r="L10" i="1" s="1"/>
  <c r="N10" i="1" s="1"/>
  <c r="M9" i="1"/>
  <c r="J12" i="2"/>
  <c r="K12" i="2"/>
  <c r="H13" i="2"/>
  <c r="I14" i="2" s="1"/>
  <c r="L12" i="2" l="1"/>
  <c r="O12" i="2" s="1"/>
  <c r="G15" i="2"/>
  <c r="O10" i="1"/>
  <c r="K11" i="1"/>
  <c r="L11" i="1" s="1"/>
  <c r="N11" i="1" s="1"/>
  <c r="M10" i="1"/>
  <c r="R12" i="2" l="1"/>
  <c r="G16" i="2"/>
  <c r="O11" i="1"/>
  <c r="M11" i="1"/>
  <c r="K12" i="1"/>
  <c r="L12" i="1" s="1"/>
  <c r="N12" i="1" s="1"/>
  <c r="J13" i="2"/>
  <c r="K13" i="2"/>
  <c r="H14" i="2"/>
  <c r="I15" i="2" s="1"/>
  <c r="L13" i="2" l="1"/>
  <c r="O13" i="2" s="1"/>
  <c r="R13" i="2" s="1"/>
  <c r="G17" i="2"/>
  <c r="O12" i="1"/>
  <c r="K13" i="1"/>
  <c r="M12" i="1"/>
  <c r="J14" i="2"/>
  <c r="K14" i="2"/>
  <c r="H15" i="2" s="1"/>
  <c r="L14" i="2" l="1"/>
  <c r="O14" i="2" s="1"/>
  <c r="R14" i="2" s="1"/>
  <c r="G18" i="2"/>
  <c r="L13" i="1"/>
  <c r="N13" i="1" s="1"/>
  <c r="K14" i="1"/>
  <c r="L14" i="1" s="1"/>
  <c r="N14" i="1" s="1"/>
  <c r="O13" i="1"/>
  <c r="M13" i="1"/>
  <c r="J15" i="2"/>
  <c r="K15" i="2"/>
  <c r="I16" i="2"/>
  <c r="H16" i="2"/>
  <c r="I17" i="2" s="1"/>
  <c r="L15" i="2" l="1"/>
  <c r="O15" i="2" s="1"/>
  <c r="R15" i="2" s="1"/>
  <c r="G19" i="2"/>
  <c r="O14" i="1"/>
  <c r="M14" i="1"/>
  <c r="K15" i="1"/>
  <c r="L15" i="1" s="1"/>
  <c r="N15" i="1" s="1"/>
  <c r="J16" i="2"/>
  <c r="K16" i="2"/>
  <c r="H17" i="2" s="1"/>
  <c r="L16" i="2" l="1"/>
  <c r="O16" i="2" s="1"/>
  <c r="R16" i="2" s="1"/>
  <c r="G20" i="2"/>
  <c r="O15" i="1"/>
  <c r="M15" i="1"/>
  <c r="K16" i="1"/>
  <c r="L16" i="1" s="1"/>
  <c r="N16" i="1" s="1"/>
  <c r="J17" i="2"/>
  <c r="K17" i="2"/>
  <c r="I18" i="2"/>
  <c r="H18" i="2"/>
  <c r="I19" i="2" s="1"/>
  <c r="L17" i="2" l="1"/>
  <c r="O17" i="2" s="1"/>
  <c r="G21" i="2"/>
  <c r="O16" i="1"/>
  <c r="M16" i="1"/>
  <c r="K17" i="1"/>
  <c r="L17" i="1" s="1"/>
  <c r="N17" i="1" s="1"/>
  <c r="R17" i="2" l="1"/>
  <c r="G22" i="2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O17" i="1"/>
  <c r="M17" i="1"/>
  <c r="K18" i="1"/>
  <c r="L18" i="1" s="1"/>
  <c r="N18" i="1" s="1"/>
  <c r="J18" i="2"/>
  <c r="K18" i="2"/>
  <c r="H19" i="2" s="1"/>
  <c r="L18" i="2" l="1"/>
  <c r="O18" i="2" s="1"/>
  <c r="R18" i="2" s="1"/>
  <c r="O18" i="1"/>
  <c r="M18" i="1"/>
  <c r="K19" i="1"/>
  <c r="L19" i="1" s="1"/>
  <c r="N19" i="1" s="1"/>
  <c r="J19" i="2"/>
  <c r="K19" i="2"/>
  <c r="I20" i="2"/>
  <c r="H20" i="2"/>
  <c r="I21" i="2" s="1"/>
  <c r="L19" i="2" l="1"/>
  <c r="O19" i="2" s="1"/>
  <c r="R19" i="2" s="1"/>
  <c r="O19" i="1"/>
  <c r="K20" i="1"/>
  <c r="M19" i="1"/>
  <c r="J20" i="2"/>
  <c r="K20" i="2"/>
  <c r="H21" i="2"/>
  <c r="I22" i="2" s="1"/>
  <c r="L20" i="2" l="1"/>
  <c r="O20" i="2" s="1"/>
  <c r="R20" i="2" s="1"/>
  <c r="O20" i="1"/>
  <c r="K21" i="1"/>
  <c r="L21" i="1" s="1"/>
  <c r="N21" i="1" s="1"/>
  <c r="M20" i="1"/>
  <c r="L20" i="1"/>
  <c r="N20" i="1" s="1"/>
  <c r="J21" i="2"/>
  <c r="K21" i="2"/>
  <c r="H22" i="2" s="1"/>
  <c r="L21" i="2" l="1"/>
  <c r="O21" i="2" s="1"/>
  <c r="R21" i="2" s="1"/>
  <c r="O21" i="1"/>
  <c r="K22" i="1"/>
  <c r="L22" i="1" s="1"/>
  <c r="N22" i="1" s="1"/>
  <c r="M21" i="1"/>
  <c r="J22" i="2"/>
  <c r="K22" i="2"/>
  <c r="I23" i="2"/>
  <c r="H23" i="2"/>
  <c r="I24" i="2" s="1"/>
  <c r="L22" i="2" l="1"/>
  <c r="O22" i="2" s="1"/>
  <c r="O22" i="1"/>
  <c r="M22" i="1"/>
  <c r="K23" i="1"/>
  <c r="L23" i="1" s="1"/>
  <c r="N23" i="1" s="1"/>
  <c r="J23" i="2"/>
  <c r="K23" i="2"/>
  <c r="H24" i="2"/>
  <c r="I25" i="2" s="1"/>
  <c r="L23" i="2" l="1"/>
  <c r="O23" i="2" s="1"/>
  <c r="R22" i="2"/>
  <c r="O23" i="1"/>
  <c r="K24" i="1"/>
  <c r="M23" i="1"/>
  <c r="R23" i="2" l="1"/>
  <c r="O24" i="1"/>
  <c r="M24" i="1"/>
  <c r="K25" i="1"/>
  <c r="L25" i="1" s="1"/>
  <c r="N25" i="1" s="1"/>
  <c r="L24" i="1"/>
  <c r="N24" i="1" s="1"/>
  <c r="J24" i="2"/>
  <c r="K24" i="2"/>
  <c r="H25" i="2" s="1"/>
  <c r="L24" i="2" l="1"/>
  <c r="O24" i="2" s="1"/>
  <c r="R24" i="2" s="1"/>
  <c r="O25" i="1"/>
  <c r="M25" i="1"/>
  <c r="K26" i="1"/>
  <c r="L26" i="1" s="1"/>
  <c r="N26" i="1" s="1"/>
  <c r="J25" i="2"/>
  <c r="K25" i="2"/>
  <c r="I26" i="2"/>
  <c r="H26" i="2"/>
  <c r="I27" i="2" s="1"/>
  <c r="L25" i="2" l="1"/>
  <c r="O25" i="2" s="1"/>
  <c r="R25" i="2" s="1"/>
  <c r="O26" i="1"/>
  <c r="M26" i="1"/>
  <c r="K27" i="1"/>
  <c r="L27" i="1" s="1"/>
  <c r="N27" i="1" s="1"/>
  <c r="J26" i="2"/>
  <c r="K26" i="2"/>
  <c r="H27" i="2"/>
  <c r="I28" i="2" s="1"/>
  <c r="L26" i="2" l="1"/>
  <c r="O26" i="2" s="1"/>
  <c r="R26" i="2" s="1"/>
  <c r="O27" i="1"/>
  <c r="K28" i="1"/>
  <c r="L28" i="1" s="1"/>
  <c r="N28" i="1" s="1"/>
  <c r="M27" i="1"/>
  <c r="J27" i="2"/>
  <c r="K27" i="2"/>
  <c r="H28" i="2" s="1"/>
  <c r="L27" i="2" l="1"/>
  <c r="O27" i="2" s="1"/>
  <c r="R27" i="2" s="1"/>
  <c r="O28" i="1"/>
  <c r="M28" i="1"/>
  <c r="K29" i="1"/>
  <c r="L29" i="1" s="1"/>
  <c r="N29" i="1" s="1"/>
  <c r="J28" i="2"/>
  <c r="K28" i="2"/>
  <c r="I29" i="2"/>
  <c r="H29" i="2"/>
  <c r="I30" i="2" s="1"/>
  <c r="L28" i="2" l="1"/>
  <c r="O28" i="2" s="1"/>
  <c r="R28" i="2" s="1"/>
  <c r="O29" i="1"/>
  <c r="M29" i="1"/>
  <c r="K30" i="1"/>
  <c r="L30" i="1" s="1"/>
  <c r="N30" i="1" s="1"/>
  <c r="J29" i="2"/>
  <c r="K29" i="2"/>
  <c r="H30" i="2" s="1"/>
  <c r="L29" i="2" l="1"/>
  <c r="O29" i="2" s="1"/>
  <c r="R29" i="2" s="1"/>
  <c r="O30" i="1"/>
  <c r="M30" i="1"/>
  <c r="K31" i="1"/>
  <c r="L31" i="1" s="1"/>
  <c r="N31" i="1" s="1"/>
  <c r="J30" i="2"/>
  <c r="K30" i="2"/>
  <c r="I31" i="2"/>
  <c r="H31" i="2"/>
  <c r="I32" i="2" s="1"/>
  <c r="L30" i="2" l="1"/>
  <c r="O30" i="2" s="1"/>
  <c r="R30" i="2" s="1"/>
  <c r="O31" i="1"/>
  <c r="M31" i="1"/>
  <c r="K32" i="1"/>
  <c r="L32" i="1" s="1"/>
  <c r="N32" i="1" s="1"/>
  <c r="J31" i="2"/>
  <c r="K31" i="2"/>
  <c r="H32" i="2"/>
  <c r="I33" i="2" s="1"/>
  <c r="L31" i="2" l="1"/>
  <c r="O31" i="2" s="1"/>
  <c r="R31" i="2" s="1"/>
  <c r="O32" i="1"/>
  <c r="M32" i="1"/>
  <c r="K33" i="1"/>
  <c r="L33" i="1" s="1"/>
  <c r="N33" i="1" s="1"/>
  <c r="J32" i="2"/>
  <c r="K32" i="2"/>
  <c r="H33" i="2" s="1"/>
  <c r="L32" i="2" l="1"/>
  <c r="O32" i="2" s="1"/>
  <c r="R32" i="2" s="1"/>
  <c r="O33" i="1"/>
  <c r="M33" i="1"/>
  <c r="K34" i="1"/>
  <c r="L34" i="1" s="1"/>
  <c r="N34" i="1" s="1"/>
  <c r="J33" i="2"/>
  <c r="K33" i="2"/>
  <c r="I34" i="2"/>
  <c r="H34" i="2"/>
  <c r="I35" i="2" s="1"/>
  <c r="L33" i="2" l="1"/>
  <c r="O33" i="2" s="1"/>
  <c r="R33" i="2" s="1"/>
  <c r="O34" i="1"/>
  <c r="K35" i="1"/>
  <c r="L35" i="1" s="1"/>
  <c r="N35" i="1" s="1"/>
  <c r="M34" i="1"/>
  <c r="J34" i="2"/>
  <c r="K34" i="2"/>
  <c r="H35" i="2" s="1"/>
  <c r="L34" i="2" l="1"/>
  <c r="O34" i="2" s="1"/>
  <c r="R34" i="2" s="1"/>
  <c r="O35" i="1"/>
  <c r="K36" i="1"/>
  <c r="L36" i="1" s="1"/>
  <c r="N36" i="1" s="1"/>
  <c r="M35" i="1"/>
  <c r="J35" i="2"/>
  <c r="K35" i="2"/>
  <c r="I36" i="2"/>
  <c r="H36" i="2"/>
  <c r="I37" i="2" s="1"/>
  <c r="L35" i="2" l="1"/>
  <c r="O35" i="2" s="1"/>
  <c r="R35" i="2" s="1"/>
  <c r="O36" i="1"/>
  <c r="K37" i="1"/>
  <c r="L37" i="1" s="1"/>
  <c r="N37" i="1" s="1"/>
  <c r="M36" i="1"/>
  <c r="J36" i="2"/>
  <c r="K36" i="2"/>
  <c r="H37" i="2"/>
  <c r="I38" i="2" s="1"/>
  <c r="L36" i="2" l="1"/>
  <c r="O36" i="2" s="1"/>
  <c r="R36" i="2" s="1"/>
  <c r="O37" i="1"/>
  <c r="M37" i="1"/>
  <c r="K38" i="1"/>
  <c r="L38" i="1" s="1"/>
  <c r="N38" i="1" s="1"/>
  <c r="J37" i="2"/>
  <c r="K37" i="2"/>
  <c r="H38" i="2" s="1"/>
  <c r="L37" i="2" l="1"/>
  <c r="O37" i="2" s="1"/>
  <c r="R37" i="2" s="1"/>
  <c r="O38" i="1"/>
  <c r="M38" i="1"/>
  <c r="K39" i="1"/>
  <c r="L39" i="1" s="1"/>
  <c r="N39" i="1" s="1"/>
  <c r="J38" i="2"/>
  <c r="K38" i="2"/>
  <c r="I39" i="2"/>
  <c r="H39" i="2"/>
  <c r="I40" i="2" s="1"/>
  <c r="L38" i="2" l="1"/>
  <c r="O38" i="2" s="1"/>
  <c r="R38" i="2" s="1"/>
  <c r="O39" i="1"/>
  <c r="M39" i="1"/>
  <c r="K40" i="1"/>
  <c r="L40" i="1" s="1"/>
  <c r="N40" i="1" s="1"/>
  <c r="J39" i="2"/>
  <c r="K39" i="2"/>
  <c r="H40" i="2"/>
  <c r="I41" i="2" s="1"/>
  <c r="L39" i="2" l="1"/>
  <c r="O39" i="2" s="1"/>
  <c r="O40" i="1"/>
  <c r="K41" i="1"/>
  <c r="L41" i="1" s="1"/>
  <c r="N41" i="1" s="1"/>
  <c r="M40" i="1"/>
  <c r="J40" i="2"/>
  <c r="K40" i="2"/>
  <c r="H41" i="2" s="1"/>
  <c r="L40" i="2" l="1"/>
  <c r="O40" i="2" s="1"/>
  <c r="R39" i="2"/>
  <c r="O41" i="1"/>
  <c r="K42" i="1"/>
  <c r="L42" i="1" s="1"/>
  <c r="N42" i="1" s="1"/>
  <c r="M41" i="1"/>
  <c r="J41" i="2"/>
  <c r="K41" i="2"/>
  <c r="I42" i="2"/>
  <c r="H42" i="2"/>
  <c r="L41" i="2" l="1"/>
  <c r="O41" i="2" s="1"/>
  <c r="R40" i="2"/>
  <c r="O42" i="1"/>
  <c r="M42" i="1"/>
  <c r="K43" i="1"/>
  <c r="L43" i="1" s="1"/>
  <c r="N43" i="1" s="1"/>
  <c r="R41" i="2" l="1"/>
  <c r="O43" i="1"/>
  <c r="M43" i="1"/>
  <c r="K44" i="1"/>
  <c r="L44" i="1" s="1"/>
  <c r="N44" i="1" s="1"/>
  <c r="J42" i="2"/>
  <c r="K42" i="2"/>
  <c r="I43" i="2"/>
  <c r="H43" i="2"/>
  <c r="I44" i="2" s="1"/>
  <c r="L42" i="2" l="1"/>
  <c r="O42" i="2" s="1"/>
  <c r="R42" i="2" s="1"/>
  <c r="O44" i="1"/>
  <c r="K45" i="1"/>
  <c r="L45" i="1" s="1"/>
  <c r="N45" i="1" s="1"/>
  <c r="M44" i="1"/>
  <c r="J43" i="2"/>
  <c r="K43" i="2"/>
  <c r="H44" i="2"/>
  <c r="I45" i="2" s="1"/>
  <c r="L43" i="2" l="1"/>
  <c r="O43" i="2" s="1"/>
  <c r="R43" i="2" s="1"/>
  <c r="O45" i="1"/>
  <c r="M45" i="1"/>
  <c r="K46" i="1"/>
  <c r="L46" i="1" s="1"/>
  <c r="N46" i="1" s="1"/>
  <c r="J44" i="2"/>
  <c r="K44" i="2"/>
  <c r="H45" i="2" s="1"/>
  <c r="L44" i="2" l="1"/>
  <c r="O44" i="2" s="1"/>
  <c r="R44" i="2" s="1"/>
  <c r="O46" i="1"/>
  <c r="K47" i="1"/>
  <c r="L47" i="1" s="1"/>
  <c r="N47" i="1" s="1"/>
  <c r="M46" i="1"/>
  <c r="J45" i="2"/>
  <c r="K45" i="2"/>
  <c r="I46" i="2"/>
  <c r="H46" i="2"/>
  <c r="I47" i="2" s="1"/>
  <c r="L45" i="2" l="1"/>
  <c r="O45" i="2" s="1"/>
  <c r="R45" i="2" s="1"/>
  <c r="O47" i="1"/>
  <c r="M47" i="1"/>
  <c r="K48" i="1"/>
  <c r="L48" i="1" s="1"/>
  <c r="N48" i="1" s="1"/>
  <c r="J46" i="2"/>
  <c r="K46" i="2"/>
  <c r="H47" i="2"/>
  <c r="I48" i="2" s="1"/>
  <c r="L46" i="2" l="1"/>
  <c r="O46" i="2" s="1"/>
  <c r="R46" i="2" s="1"/>
  <c r="O48" i="1"/>
  <c r="M48" i="1"/>
  <c r="K49" i="1"/>
  <c r="L49" i="1" s="1"/>
  <c r="N49" i="1" s="1"/>
  <c r="J47" i="2"/>
  <c r="K47" i="2"/>
  <c r="H48" i="2" s="1"/>
  <c r="L47" i="2" l="1"/>
  <c r="O47" i="2" s="1"/>
  <c r="R47" i="2" s="1"/>
  <c r="O49" i="1"/>
  <c r="M49" i="1"/>
  <c r="K50" i="1"/>
  <c r="L50" i="1" s="1"/>
  <c r="N50" i="1" s="1"/>
  <c r="J48" i="2"/>
  <c r="K48" i="2"/>
  <c r="I49" i="2"/>
  <c r="H49" i="2"/>
  <c r="I50" i="2" s="1"/>
  <c r="L48" i="2" l="1"/>
  <c r="O48" i="2" s="1"/>
  <c r="R48" i="2" s="1"/>
  <c r="O50" i="1"/>
  <c r="M50" i="1"/>
  <c r="K51" i="1"/>
  <c r="L51" i="1" s="1"/>
  <c r="N51" i="1" s="1"/>
  <c r="J49" i="2"/>
  <c r="K49" i="2"/>
  <c r="H50" i="2"/>
  <c r="I51" i="2" s="1"/>
  <c r="L49" i="2" l="1"/>
  <c r="O49" i="2" s="1"/>
  <c r="R49" i="2" s="1"/>
  <c r="O51" i="1"/>
  <c r="K52" i="1"/>
  <c r="L52" i="1" s="1"/>
  <c r="N52" i="1" s="1"/>
  <c r="M51" i="1"/>
  <c r="J50" i="2"/>
  <c r="K50" i="2"/>
  <c r="H51" i="2" s="1"/>
  <c r="L50" i="2" l="1"/>
  <c r="O50" i="2" s="1"/>
  <c r="R50" i="2" s="1"/>
  <c r="O52" i="1"/>
  <c r="M52" i="1"/>
  <c r="K53" i="1"/>
  <c r="L53" i="1" s="1"/>
  <c r="N53" i="1" s="1"/>
  <c r="J51" i="2"/>
  <c r="K51" i="2"/>
  <c r="I52" i="2"/>
  <c r="H52" i="2"/>
  <c r="I53" i="2" s="1"/>
  <c r="L51" i="2" l="1"/>
  <c r="O51" i="2" s="1"/>
  <c r="R51" i="2" s="1"/>
  <c r="O53" i="1"/>
  <c r="K54" i="1"/>
  <c r="M53" i="1"/>
  <c r="J52" i="2"/>
  <c r="K52" i="2"/>
  <c r="H53" i="2" s="1"/>
  <c r="L52" i="2" l="1"/>
  <c r="O52" i="2" s="1"/>
  <c r="O54" i="1"/>
  <c r="K55" i="1"/>
  <c r="L55" i="1" s="1"/>
  <c r="N55" i="1" s="1"/>
  <c r="M54" i="1"/>
  <c r="L54" i="1"/>
  <c r="N54" i="1" s="1"/>
  <c r="R52" i="2" l="1"/>
  <c r="O55" i="1"/>
  <c r="K56" i="1"/>
  <c r="L56" i="1" s="1"/>
  <c r="N56" i="1" s="1"/>
  <c r="M55" i="1"/>
  <c r="J53" i="2"/>
  <c r="K53" i="2"/>
  <c r="I54" i="2"/>
  <c r="H54" i="2"/>
  <c r="L53" i="2" l="1"/>
  <c r="O53" i="2" s="1"/>
  <c r="R53" i="2" s="1"/>
  <c r="O56" i="1"/>
  <c r="K57" i="1"/>
  <c r="L57" i="1" s="1"/>
  <c r="N57" i="1" s="1"/>
  <c r="M56" i="1"/>
  <c r="J54" i="2"/>
  <c r="K54" i="2"/>
  <c r="I55" i="2"/>
  <c r="H55" i="2"/>
  <c r="I56" i="2" s="1"/>
  <c r="L54" i="2" l="1"/>
  <c r="O54" i="2" s="1"/>
  <c r="R54" i="2" s="1"/>
  <c r="O57" i="1"/>
  <c r="M57" i="1"/>
  <c r="K58" i="1"/>
  <c r="L58" i="1" s="1"/>
  <c r="N58" i="1" s="1"/>
  <c r="J55" i="2"/>
  <c r="K55" i="2"/>
  <c r="H56" i="2" s="1"/>
  <c r="L55" i="2" l="1"/>
  <c r="O55" i="2" s="1"/>
  <c r="R55" i="2" s="1"/>
  <c r="O58" i="1"/>
  <c r="M58" i="1"/>
  <c r="K59" i="1"/>
  <c r="L59" i="1" s="1"/>
  <c r="N59" i="1" s="1"/>
  <c r="J56" i="2"/>
  <c r="K56" i="2"/>
  <c r="I57" i="2"/>
  <c r="H57" i="2"/>
  <c r="I58" i="2" s="1"/>
  <c r="L56" i="2" l="1"/>
  <c r="O56" i="2" s="1"/>
  <c r="R56" i="2" s="1"/>
  <c r="O59" i="1"/>
  <c r="K60" i="1"/>
  <c r="L60" i="1" s="1"/>
  <c r="N60" i="1" s="1"/>
  <c r="M59" i="1"/>
  <c r="J57" i="2"/>
  <c r="K57" i="2"/>
  <c r="H58" i="2" s="1"/>
  <c r="L57" i="2" l="1"/>
  <c r="O57" i="2" s="1"/>
  <c r="R57" i="2" s="1"/>
  <c r="O60" i="1"/>
  <c r="K61" i="1"/>
  <c r="L61" i="1" s="1"/>
  <c r="N61" i="1" s="1"/>
  <c r="M60" i="1"/>
  <c r="J58" i="2"/>
  <c r="K58" i="2"/>
  <c r="I59" i="2"/>
  <c r="H59" i="2"/>
  <c r="I60" i="2" s="1"/>
  <c r="L58" i="2" l="1"/>
  <c r="O58" i="2" s="1"/>
  <c r="R58" i="2" s="1"/>
  <c r="O61" i="1"/>
  <c r="K62" i="1"/>
  <c r="L62" i="1" s="1"/>
  <c r="N62" i="1" s="1"/>
  <c r="M61" i="1"/>
  <c r="J59" i="2"/>
  <c r="K59" i="2"/>
  <c r="H60" i="2" s="1"/>
  <c r="L59" i="2" l="1"/>
  <c r="O59" i="2" s="1"/>
  <c r="R59" i="2" s="1"/>
  <c r="O62" i="1"/>
  <c r="M62" i="1"/>
  <c r="K63" i="1"/>
  <c r="L63" i="1" s="1"/>
  <c r="N63" i="1" s="1"/>
  <c r="J60" i="2"/>
  <c r="K60" i="2"/>
  <c r="I61" i="2"/>
  <c r="H61" i="2"/>
  <c r="I62" i="2" s="1"/>
  <c r="L60" i="2" l="1"/>
  <c r="O60" i="2" s="1"/>
  <c r="R60" i="2" s="1"/>
  <c r="O63" i="1"/>
  <c r="M63" i="1"/>
  <c r="K64" i="1"/>
  <c r="J61" i="2"/>
  <c r="K61" i="2"/>
  <c r="H62" i="2" s="1"/>
  <c r="L61" i="2" l="1"/>
  <c r="O61" i="2" s="1"/>
  <c r="R61" i="2" s="1"/>
  <c r="O64" i="1"/>
  <c r="M64" i="1"/>
  <c r="K65" i="1"/>
  <c r="L65" i="1" s="1"/>
  <c r="N65" i="1" s="1"/>
  <c r="L64" i="1"/>
  <c r="N64" i="1" s="1"/>
  <c r="J62" i="2"/>
  <c r="K62" i="2"/>
  <c r="I63" i="2"/>
  <c r="H63" i="2"/>
  <c r="I64" i="2" s="1"/>
  <c r="L62" i="2" l="1"/>
  <c r="O62" i="2" s="1"/>
  <c r="R62" i="2" s="1"/>
  <c r="O65" i="1"/>
  <c r="M65" i="1"/>
  <c r="K66" i="1"/>
  <c r="L66" i="1" s="1"/>
  <c r="N66" i="1" s="1"/>
  <c r="J63" i="2"/>
  <c r="K63" i="2"/>
  <c r="H64" i="2" s="1"/>
  <c r="L63" i="2" l="1"/>
  <c r="O63" i="2" s="1"/>
  <c r="R63" i="2" s="1"/>
  <c r="O66" i="1"/>
  <c r="M66" i="1"/>
  <c r="K67" i="1"/>
  <c r="L67" i="1" s="1"/>
  <c r="N67" i="1" s="1"/>
  <c r="J64" i="2"/>
  <c r="K64" i="2"/>
  <c r="I65" i="2"/>
  <c r="H65" i="2"/>
  <c r="I66" i="2" s="1"/>
  <c r="L64" i="2" l="1"/>
  <c r="O64" i="2" s="1"/>
  <c r="R64" i="2" s="1"/>
  <c r="O67" i="1"/>
  <c r="K68" i="1"/>
  <c r="L68" i="1" s="1"/>
  <c r="N68" i="1" s="1"/>
  <c r="M67" i="1"/>
  <c r="J65" i="2"/>
  <c r="K65" i="2"/>
  <c r="H66" i="2" s="1"/>
  <c r="L65" i="2" l="1"/>
  <c r="O65" i="2" s="1"/>
  <c r="R65" i="2" s="1"/>
  <c r="O68" i="1"/>
  <c r="M68" i="1"/>
  <c r="K69" i="1"/>
  <c r="L69" i="1" s="1"/>
  <c r="N69" i="1" s="1"/>
  <c r="J66" i="2"/>
  <c r="K66" i="2"/>
  <c r="I67" i="2"/>
  <c r="H67" i="2"/>
  <c r="I68" i="2" s="1"/>
  <c r="L66" i="2" l="1"/>
  <c r="O66" i="2" s="1"/>
  <c r="R66" i="2" s="1"/>
  <c r="O69" i="1"/>
  <c r="K70" i="1"/>
  <c r="L70" i="1" s="1"/>
  <c r="N70" i="1" s="1"/>
  <c r="M69" i="1"/>
  <c r="J67" i="2"/>
  <c r="K67" i="2"/>
  <c r="H68" i="2" s="1"/>
  <c r="L67" i="2" l="1"/>
  <c r="O67" i="2" s="1"/>
  <c r="R67" i="2" s="1"/>
  <c r="O70" i="1"/>
  <c r="K71" i="1"/>
  <c r="L71" i="1" s="1"/>
  <c r="N71" i="1" s="1"/>
  <c r="M70" i="1"/>
  <c r="J68" i="2"/>
  <c r="K68" i="2"/>
  <c r="I69" i="2"/>
  <c r="H69" i="2"/>
  <c r="L68" i="2" l="1"/>
  <c r="O68" i="2" s="1"/>
  <c r="R68" i="2" s="1"/>
  <c r="O71" i="1"/>
  <c r="M71" i="1"/>
  <c r="K72" i="1"/>
  <c r="L72" i="1" s="1"/>
  <c r="N72" i="1" s="1"/>
  <c r="J69" i="2"/>
  <c r="K69" i="2"/>
  <c r="I70" i="2"/>
  <c r="H70" i="2"/>
  <c r="I71" i="2" s="1"/>
  <c r="L69" i="2" l="1"/>
  <c r="O69" i="2" s="1"/>
  <c r="R69" i="2" s="1"/>
  <c r="O72" i="1"/>
  <c r="K73" i="1"/>
  <c r="M72" i="1"/>
  <c r="J70" i="2"/>
  <c r="K70" i="2"/>
  <c r="H71" i="2" s="1"/>
  <c r="L70" i="2" l="1"/>
  <c r="O70" i="2" s="1"/>
  <c r="O73" i="1"/>
  <c r="M73" i="1"/>
  <c r="K74" i="1"/>
  <c r="L74" i="1" s="1"/>
  <c r="N74" i="1" s="1"/>
  <c r="L73" i="1"/>
  <c r="N73" i="1" s="1"/>
  <c r="R70" i="2" l="1"/>
  <c r="O74" i="1"/>
  <c r="K75" i="1"/>
  <c r="L75" i="1" s="1"/>
  <c r="N75" i="1" s="1"/>
  <c r="M74" i="1"/>
  <c r="J71" i="2"/>
  <c r="K71" i="2"/>
  <c r="I72" i="2"/>
  <c r="H72" i="2"/>
  <c r="I73" i="2" s="1"/>
  <c r="L71" i="2" l="1"/>
  <c r="O71" i="2" s="1"/>
  <c r="R71" i="2" s="1"/>
  <c r="O75" i="1"/>
  <c r="M75" i="1"/>
  <c r="K76" i="1"/>
  <c r="L76" i="1" s="1"/>
  <c r="N76" i="1" s="1"/>
  <c r="J72" i="2"/>
  <c r="K72" i="2"/>
  <c r="H73" i="2" s="1"/>
  <c r="L72" i="2" l="1"/>
  <c r="O72" i="2" s="1"/>
  <c r="R72" i="2" s="1"/>
  <c r="O76" i="1"/>
  <c r="K77" i="1"/>
  <c r="L77" i="1" s="1"/>
  <c r="N77" i="1" s="1"/>
  <c r="M76" i="1"/>
  <c r="J73" i="2"/>
  <c r="K73" i="2"/>
  <c r="I74" i="2"/>
  <c r="H74" i="2"/>
  <c r="I75" i="2" s="1"/>
  <c r="L73" i="2" l="1"/>
  <c r="O73" i="2" s="1"/>
  <c r="R73" i="2" s="1"/>
  <c r="O77" i="1"/>
  <c r="M77" i="1"/>
  <c r="K78" i="1"/>
  <c r="L78" i="1" s="1"/>
  <c r="N78" i="1" s="1"/>
  <c r="J74" i="2"/>
  <c r="K74" i="2"/>
  <c r="H75" i="2"/>
  <c r="I76" i="2" s="1"/>
  <c r="L74" i="2" l="1"/>
  <c r="O74" i="2" s="1"/>
  <c r="R74" i="2" s="1"/>
  <c r="O78" i="1"/>
  <c r="K79" i="1"/>
  <c r="L79" i="1" s="1"/>
  <c r="N79" i="1" s="1"/>
  <c r="M78" i="1"/>
  <c r="J75" i="2"/>
  <c r="K75" i="2"/>
  <c r="H76" i="2"/>
  <c r="I77" i="2" s="1"/>
  <c r="L75" i="2" l="1"/>
  <c r="O75" i="2" s="1"/>
  <c r="O79" i="1"/>
  <c r="M79" i="1"/>
  <c r="K80" i="1"/>
  <c r="L80" i="1" s="1"/>
  <c r="N80" i="1" s="1"/>
  <c r="R75" i="2" l="1"/>
  <c r="O80" i="1"/>
  <c r="M80" i="1"/>
  <c r="K81" i="1"/>
  <c r="L81" i="1" s="1"/>
  <c r="N81" i="1" s="1"/>
  <c r="J76" i="2"/>
  <c r="K76" i="2"/>
  <c r="H77" i="2"/>
  <c r="I78" i="2" s="1"/>
  <c r="L76" i="2" l="1"/>
  <c r="O76" i="2" s="1"/>
  <c r="R76" i="2" s="1"/>
  <c r="O81" i="1"/>
  <c r="K82" i="1"/>
  <c r="L82" i="1" s="1"/>
  <c r="N82" i="1" s="1"/>
  <c r="M81" i="1"/>
  <c r="J77" i="2"/>
  <c r="K77" i="2"/>
  <c r="H78" i="2" s="1"/>
  <c r="L77" i="2" l="1"/>
  <c r="O77" i="2" s="1"/>
  <c r="R77" i="2" s="1"/>
  <c r="O82" i="1"/>
  <c r="M82" i="1"/>
  <c r="K83" i="1"/>
  <c r="L83" i="1" s="1"/>
  <c r="N83" i="1" s="1"/>
  <c r="J78" i="2"/>
  <c r="K78" i="2"/>
  <c r="I79" i="2"/>
  <c r="H79" i="2"/>
  <c r="I80" i="2" s="1"/>
  <c r="L78" i="2" l="1"/>
  <c r="O78" i="2" s="1"/>
  <c r="R78" i="2" s="1"/>
  <c r="O83" i="1"/>
  <c r="K84" i="1"/>
  <c r="L84" i="1" s="1"/>
  <c r="N84" i="1" s="1"/>
  <c r="M83" i="1"/>
  <c r="J79" i="2"/>
  <c r="K79" i="2"/>
  <c r="H80" i="2" s="1"/>
  <c r="L79" i="2" l="1"/>
  <c r="O79" i="2" s="1"/>
  <c r="O84" i="1"/>
  <c r="M84" i="1"/>
  <c r="K85" i="1"/>
  <c r="L85" i="1" s="1"/>
  <c r="N85" i="1" s="1"/>
  <c r="R79" i="2" l="1"/>
  <c r="O85" i="1"/>
  <c r="K86" i="1"/>
  <c r="L86" i="1" s="1"/>
  <c r="N86" i="1" s="1"/>
  <c r="M85" i="1"/>
  <c r="J80" i="2"/>
  <c r="K80" i="2"/>
  <c r="I81" i="2"/>
  <c r="H81" i="2"/>
  <c r="I82" i="2" s="1"/>
  <c r="L80" i="2" l="1"/>
  <c r="O80" i="2" s="1"/>
  <c r="R80" i="2" s="1"/>
  <c r="O86" i="1"/>
  <c r="M86" i="1"/>
  <c r="K87" i="1"/>
  <c r="L87" i="1" s="1"/>
  <c r="N87" i="1" s="1"/>
  <c r="J81" i="2"/>
  <c r="K81" i="2"/>
  <c r="H82" i="2"/>
  <c r="I83" i="2" s="1"/>
  <c r="L81" i="2" l="1"/>
  <c r="O81" i="2" s="1"/>
  <c r="R81" i="2" s="1"/>
  <c r="O87" i="1"/>
  <c r="M87" i="1"/>
  <c r="K88" i="1"/>
  <c r="L88" i="1" s="1"/>
  <c r="N88" i="1" s="1"/>
  <c r="J82" i="2"/>
  <c r="K82" i="2"/>
  <c r="H83" i="2" s="1"/>
  <c r="L82" i="2" l="1"/>
  <c r="O82" i="2" s="1"/>
  <c r="R82" i="2" s="1"/>
  <c r="O88" i="1"/>
  <c r="M88" i="1"/>
  <c r="K89" i="1"/>
  <c r="L89" i="1" s="1"/>
  <c r="N89" i="1" s="1"/>
  <c r="J83" i="2"/>
  <c r="K83" i="2"/>
  <c r="I84" i="2"/>
  <c r="H84" i="2"/>
  <c r="I85" i="2" s="1"/>
  <c r="L83" i="2" l="1"/>
  <c r="O83" i="2" s="1"/>
  <c r="R83" i="2" s="1"/>
  <c r="O89" i="1"/>
  <c r="M89" i="1"/>
  <c r="K90" i="1"/>
  <c r="L90" i="1" s="1"/>
  <c r="N90" i="1" s="1"/>
  <c r="J84" i="2"/>
  <c r="K84" i="2"/>
  <c r="H85" i="2" s="1"/>
  <c r="L84" i="2" l="1"/>
  <c r="O84" i="2" s="1"/>
  <c r="R84" i="2" s="1"/>
  <c r="O90" i="1"/>
  <c r="K91" i="1"/>
  <c r="L91" i="1" s="1"/>
  <c r="N91" i="1" s="1"/>
  <c r="M90" i="1"/>
  <c r="J85" i="2"/>
  <c r="K85" i="2"/>
  <c r="I86" i="2"/>
  <c r="H86" i="2"/>
  <c r="I87" i="2" s="1"/>
  <c r="L85" i="2" l="1"/>
  <c r="O85" i="2" s="1"/>
  <c r="O91" i="1"/>
  <c r="K92" i="1"/>
  <c r="L92" i="1" s="1"/>
  <c r="N92" i="1" s="1"/>
  <c r="M91" i="1"/>
  <c r="R85" i="2" l="1"/>
  <c r="O92" i="1"/>
  <c r="K93" i="1"/>
  <c r="L93" i="1" s="1"/>
  <c r="N93" i="1" s="1"/>
  <c r="M92" i="1"/>
  <c r="J86" i="2"/>
  <c r="K86" i="2"/>
  <c r="H87" i="2"/>
  <c r="I88" i="2" s="1"/>
  <c r="L86" i="2" l="1"/>
  <c r="O86" i="2" s="1"/>
  <c r="R86" i="2" s="1"/>
  <c r="O93" i="1"/>
  <c r="M93" i="1"/>
  <c r="K94" i="1"/>
  <c r="L94" i="1" s="1"/>
  <c r="N94" i="1" s="1"/>
  <c r="J87" i="2"/>
  <c r="K87" i="2"/>
  <c r="H88" i="2" s="1"/>
  <c r="L87" i="2" l="1"/>
  <c r="O87" i="2" s="1"/>
  <c r="R87" i="2" s="1"/>
  <c r="O94" i="1"/>
  <c r="M94" i="1"/>
  <c r="K95" i="1"/>
  <c r="L95" i="1" s="1"/>
  <c r="N95" i="1" s="1"/>
  <c r="J88" i="2"/>
  <c r="K88" i="2"/>
  <c r="I89" i="2"/>
  <c r="H89" i="2"/>
  <c r="I90" i="2" s="1"/>
  <c r="L88" i="2" l="1"/>
  <c r="O88" i="2" s="1"/>
  <c r="R88" i="2" s="1"/>
  <c r="O95" i="1"/>
  <c r="M95" i="1"/>
  <c r="K96" i="1"/>
  <c r="L96" i="1" s="1"/>
  <c r="N96" i="1" s="1"/>
  <c r="J89" i="2"/>
  <c r="K89" i="2"/>
  <c r="H90" i="2" s="1"/>
  <c r="L89" i="2" l="1"/>
  <c r="O89" i="2" s="1"/>
  <c r="R89" i="2" s="1"/>
  <c r="O96" i="1"/>
  <c r="M96" i="1"/>
  <c r="K97" i="1"/>
  <c r="L97" i="1" s="1"/>
  <c r="N97" i="1" s="1"/>
  <c r="J90" i="2"/>
  <c r="K90" i="2"/>
  <c r="I91" i="2"/>
  <c r="H91" i="2"/>
  <c r="I92" i="2" s="1"/>
  <c r="L90" i="2" l="1"/>
  <c r="O90" i="2" s="1"/>
  <c r="R90" i="2" s="1"/>
  <c r="O97" i="1"/>
  <c r="M97" i="1"/>
  <c r="K98" i="1"/>
  <c r="J91" i="2"/>
  <c r="K91" i="2"/>
  <c r="H92" i="2" s="1"/>
  <c r="L91" i="2" l="1"/>
  <c r="O91" i="2" s="1"/>
  <c r="R91" i="2" s="1"/>
  <c r="L98" i="1"/>
  <c r="N98" i="1" s="1"/>
  <c r="O98" i="1"/>
  <c r="M98" i="1"/>
  <c r="K99" i="1"/>
  <c r="L99" i="1" s="1"/>
  <c r="N99" i="1" s="1"/>
  <c r="J92" i="2"/>
  <c r="K92" i="2"/>
  <c r="I93" i="2"/>
  <c r="H93" i="2"/>
  <c r="I94" i="2" s="1"/>
  <c r="L92" i="2" l="1"/>
  <c r="O92" i="2" s="1"/>
  <c r="R92" i="2" s="1"/>
  <c r="O99" i="1"/>
  <c r="M99" i="1"/>
  <c r="K100" i="1"/>
  <c r="L100" i="1" s="1"/>
  <c r="N100" i="1" s="1"/>
  <c r="J93" i="2"/>
  <c r="K93" i="2"/>
  <c r="H94" i="2" s="1"/>
  <c r="L93" i="2" l="1"/>
  <c r="O93" i="2" s="1"/>
  <c r="O100" i="1"/>
  <c r="K101" i="1"/>
  <c r="L101" i="1" s="1"/>
  <c r="N101" i="1" s="1"/>
  <c r="M100" i="1"/>
  <c r="R93" i="2" l="1"/>
  <c r="O101" i="1"/>
  <c r="M101" i="1"/>
  <c r="K102" i="1"/>
  <c r="J94" i="2"/>
  <c r="K94" i="2"/>
  <c r="I95" i="2"/>
  <c r="H95" i="2"/>
  <c r="I96" i="2" s="1"/>
  <c r="L94" i="2" l="1"/>
  <c r="O94" i="2" s="1"/>
  <c r="R94" i="2" s="1"/>
  <c r="M102" i="1"/>
  <c r="O102" i="1"/>
  <c r="C14" i="1" s="1"/>
  <c r="L102" i="1"/>
  <c r="C10" i="1" s="1"/>
  <c r="J95" i="2"/>
  <c r="K95" i="2"/>
  <c r="H96" i="2" s="1"/>
  <c r="L95" i="2" l="1"/>
  <c r="O95" i="2" s="1"/>
  <c r="R95" i="2" s="1"/>
  <c r="N102" i="1"/>
  <c r="C11" i="1"/>
  <c r="J96" i="2"/>
  <c r="K96" i="2"/>
  <c r="I97" i="2"/>
  <c r="H97" i="2"/>
  <c r="I98" i="2" s="1"/>
  <c r="L96" i="2" l="1"/>
  <c r="O96" i="2" s="1"/>
  <c r="R96" i="2" s="1"/>
  <c r="J97" i="2"/>
  <c r="K97" i="2"/>
  <c r="H98" i="2" s="1"/>
  <c r="L97" i="2" l="1"/>
  <c r="O97" i="2" s="1"/>
  <c r="R97" i="2" s="1"/>
  <c r="J98" i="2"/>
  <c r="K98" i="2"/>
  <c r="I99" i="2"/>
  <c r="H99" i="2"/>
  <c r="I100" i="2" s="1"/>
  <c r="L98" i="2" l="1"/>
  <c r="O98" i="2" s="1"/>
  <c r="R98" i="2" s="1"/>
  <c r="J99" i="2"/>
  <c r="K99" i="2"/>
  <c r="H100" i="2" s="1"/>
  <c r="L99" i="2" l="1"/>
  <c r="O99" i="2" s="1"/>
  <c r="R99" i="2" l="1"/>
  <c r="J100" i="2"/>
  <c r="K100" i="2"/>
  <c r="I101" i="2"/>
  <c r="H101" i="2"/>
  <c r="I102" i="2" s="1"/>
  <c r="L100" i="2" l="1"/>
  <c r="O100" i="2" s="1"/>
  <c r="R100" i="2" s="1"/>
  <c r="J101" i="2"/>
  <c r="K101" i="2"/>
  <c r="H102" i="2" s="1"/>
  <c r="L101" i="2" l="1"/>
  <c r="O101" i="2" s="1"/>
  <c r="R101" i="2" s="1"/>
  <c r="J102" i="2"/>
  <c r="K102" i="2"/>
  <c r="I103" i="2"/>
  <c r="H103" i="2"/>
  <c r="I104" i="2" s="1"/>
  <c r="L102" i="2" l="1"/>
  <c r="O102" i="2" s="1"/>
  <c r="R102" i="2" s="1"/>
  <c r="J103" i="2"/>
  <c r="K103" i="2"/>
  <c r="H104" i="2" s="1"/>
  <c r="L103" i="2" l="1"/>
  <c r="O103" i="2" s="1"/>
  <c r="R103" i="2" s="1"/>
  <c r="J104" i="2"/>
  <c r="K104" i="2"/>
  <c r="I105" i="2"/>
  <c r="H105" i="2"/>
  <c r="I106" i="2" s="1"/>
  <c r="L104" i="2" l="1"/>
  <c r="O104" i="2" s="1"/>
  <c r="R104" i="2" s="1"/>
  <c r="J105" i="2"/>
  <c r="K105" i="2"/>
  <c r="H106" i="2"/>
  <c r="I107" i="2" s="1"/>
  <c r="L105" i="2" l="1"/>
  <c r="O105" i="2" s="1"/>
  <c r="R105" i="2" s="1"/>
  <c r="J106" i="2"/>
  <c r="K106" i="2"/>
  <c r="H107" i="2" s="1"/>
  <c r="L106" i="2" l="1"/>
  <c r="O106" i="2" s="1"/>
  <c r="R106" i="2" l="1"/>
  <c r="J107" i="2"/>
  <c r="K107" i="2"/>
  <c r="I108" i="2"/>
  <c r="H108" i="2"/>
  <c r="I109" i="2" s="1"/>
  <c r="L107" i="2" l="1"/>
  <c r="O107" i="2" s="1"/>
  <c r="R107" i="2" s="1"/>
  <c r="J108" i="2"/>
  <c r="K108" i="2"/>
  <c r="H109" i="2" s="1"/>
  <c r="L108" i="2" l="1"/>
  <c r="O108" i="2" s="1"/>
  <c r="R108" i="2" s="1"/>
  <c r="J109" i="2"/>
  <c r="K109" i="2"/>
  <c r="I110" i="2"/>
  <c r="H110" i="2"/>
  <c r="I111" i="2" s="1"/>
  <c r="L109" i="2" l="1"/>
  <c r="O109" i="2" s="1"/>
  <c r="R109" i="2" s="1"/>
  <c r="J110" i="2"/>
  <c r="K110" i="2"/>
  <c r="H111" i="2" s="1"/>
  <c r="L110" i="2" l="1"/>
  <c r="O110" i="2" s="1"/>
  <c r="R110" i="2" s="1"/>
  <c r="J111" i="2"/>
  <c r="K111" i="2"/>
  <c r="I112" i="2"/>
  <c r="H112" i="2"/>
  <c r="I113" i="2" s="1"/>
  <c r="L111" i="2" l="1"/>
  <c r="O111" i="2" s="1"/>
  <c r="R111" i="2" s="1"/>
  <c r="J112" i="2"/>
  <c r="K112" i="2"/>
  <c r="H113" i="2"/>
  <c r="I114" i="2" s="1"/>
  <c r="L112" i="2" l="1"/>
  <c r="O112" i="2" s="1"/>
  <c r="R112" i="2" s="1"/>
  <c r="J113" i="2"/>
  <c r="K113" i="2"/>
  <c r="H114" i="2" s="1"/>
  <c r="L113" i="2" l="1"/>
  <c r="O113" i="2" s="1"/>
  <c r="R113" i="2" s="1"/>
  <c r="J114" i="2"/>
  <c r="K114" i="2"/>
  <c r="I115" i="2"/>
  <c r="H115" i="2"/>
  <c r="I116" i="2" s="1"/>
  <c r="L114" i="2" l="1"/>
  <c r="O114" i="2" s="1"/>
  <c r="R114" i="2" s="1"/>
  <c r="J115" i="2"/>
  <c r="K115" i="2"/>
  <c r="H116" i="2"/>
  <c r="I117" i="2" s="1"/>
  <c r="L115" i="2" l="1"/>
  <c r="O115" i="2" s="1"/>
  <c r="R115" i="2" s="1"/>
  <c r="J116" i="2"/>
  <c r="K116" i="2"/>
  <c r="H117" i="2"/>
  <c r="I118" i="2" s="1"/>
  <c r="L116" i="2" l="1"/>
  <c r="O116" i="2" s="1"/>
  <c r="R116" i="2" s="1"/>
  <c r="J117" i="2"/>
  <c r="K117" i="2"/>
  <c r="H118" i="2"/>
  <c r="I119" i="2" s="1"/>
  <c r="L117" i="2" l="1"/>
  <c r="O117" i="2" s="1"/>
  <c r="R117" i="2" s="1"/>
  <c r="J118" i="2"/>
  <c r="K118" i="2"/>
  <c r="H119" i="2" s="1"/>
  <c r="L118" i="2" l="1"/>
  <c r="O118" i="2" s="1"/>
  <c r="R118" i="2" s="1"/>
  <c r="J119" i="2"/>
  <c r="K119" i="2"/>
  <c r="I120" i="2"/>
  <c r="H120" i="2"/>
  <c r="I121" i="2" s="1"/>
  <c r="L119" i="2" l="1"/>
  <c r="O119" i="2" s="1"/>
  <c r="R119" i="2" s="1"/>
  <c r="J120" i="2"/>
  <c r="K120" i="2"/>
  <c r="H121" i="2" s="1"/>
  <c r="L120" i="2" l="1"/>
  <c r="O120" i="2" s="1"/>
  <c r="R120" i="2" s="1"/>
  <c r="J121" i="2"/>
  <c r="K121" i="2"/>
  <c r="I122" i="2"/>
  <c r="H122" i="2"/>
  <c r="I123" i="2" s="1"/>
  <c r="L121" i="2" l="1"/>
  <c r="O121" i="2" s="1"/>
  <c r="R121" i="2" s="1"/>
  <c r="J122" i="2"/>
  <c r="K122" i="2"/>
  <c r="H123" i="2" s="1"/>
  <c r="L122" i="2" l="1"/>
  <c r="O122" i="2" s="1"/>
  <c r="R122" i="2" s="1"/>
  <c r="J123" i="2"/>
  <c r="K123" i="2"/>
  <c r="I124" i="2"/>
  <c r="H124" i="2"/>
  <c r="I125" i="2" s="1"/>
  <c r="L123" i="2" l="1"/>
  <c r="O123" i="2" s="1"/>
  <c r="R123" i="2" s="1"/>
  <c r="J124" i="2"/>
  <c r="K124" i="2"/>
  <c r="H125" i="2" s="1"/>
  <c r="L124" i="2" l="1"/>
  <c r="O124" i="2" s="1"/>
  <c r="R124" i="2" s="1"/>
  <c r="J125" i="2"/>
  <c r="K125" i="2"/>
  <c r="I126" i="2"/>
  <c r="H126" i="2"/>
  <c r="I127" i="2" s="1"/>
  <c r="L125" i="2" l="1"/>
  <c r="O125" i="2" s="1"/>
  <c r="R125" i="2" s="1"/>
  <c r="J126" i="2"/>
  <c r="K126" i="2"/>
  <c r="H127" i="2"/>
  <c r="I128" i="2" s="1"/>
  <c r="L126" i="2" l="1"/>
  <c r="O126" i="2" s="1"/>
  <c r="R126" i="2" s="1"/>
  <c r="J127" i="2"/>
  <c r="K127" i="2"/>
  <c r="H128" i="2" s="1"/>
  <c r="L127" i="2" l="1"/>
  <c r="O127" i="2" s="1"/>
  <c r="R127" i="2" s="1"/>
  <c r="J128" i="2"/>
  <c r="K128" i="2"/>
  <c r="I129" i="2"/>
  <c r="H129" i="2"/>
  <c r="I130" i="2" s="1"/>
  <c r="L128" i="2" l="1"/>
  <c r="O128" i="2" s="1"/>
  <c r="R128" i="2" s="1"/>
  <c r="J129" i="2"/>
  <c r="K129" i="2"/>
  <c r="H130" i="2"/>
  <c r="I131" i="2" s="1"/>
  <c r="L129" i="2" l="1"/>
  <c r="O129" i="2" s="1"/>
  <c r="R129" i="2" s="1"/>
  <c r="J130" i="2"/>
  <c r="K130" i="2"/>
  <c r="H131" i="2"/>
  <c r="I132" i="2" s="1"/>
  <c r="L130" i="2" l="1"/>
  <c r="O130" i="2" s="1"/>
  <c r="R130" i="2" s="1"/>
  <c r="J131" i="2"/>
  <c r="K131" i="2"/>
  <c r="H132" i="2" s="1"/>
  <c r="L131" i="2" l="1"/>
  <c r="O131" i="2" s="1"/>
  <c r="R131" i="2" s="1"/>
  <c r="J132" i="2"/>
  <c r="K132" i="2"/>
  <c r="I133" i="2"/>
  <c r="H133" i="2"/>
  <c r="I134" i="2" s="1"/>
  <c r="L132" i="2" l="1"/>
  <c r="O132" i="2" s="1"/>
  <c r="R132" i="2" s="1"/>
  <c r="J133" i="2"/>
  <c r="K133" i="2"/>
  <c r="H134" i="2" s="1"/>
  <c r="L133" i="2" l="1"/>
  <c r="O133" i="2" s="1"/>
  <c r="R133" i="2" s="1"/>
  <c r="J134" i="2"/>
  <c r="K134" i="2"/>
  <c r="I135" i="2"/>
  <c r="H135" i="2"/>
  <c r="I136" i="2" s="1"/>
  <c r="L134" i="2" l="1"/>
  <c r="O134" i="2" s="1"/>
  <c r="R134" i="2" s="1"/>
  <c r="J135" i="2"/>
  <c r="K135" i="2"/>
  <c r="H136" i="2" s="1"/>
  <c r="L135" i="2" l="1"/>
  <c r="O135" i="2" s="1"/>
  <c r="R135" i="2" s="1"/>
  <c r="J136" i="2"/>
  <c r="K136" i="2"/>
  <c r="I137" i="2"/>
  <c r="H137" i="2"/>
  <c r="I138" i="2" s="1"/>
  <c r="L136" i="2" l="1"/>
  <c r="O136" i="2" s="1"/>
  <c r="R136" i="2" s="1"/>
  <c r="J137" i="2"/>
  <c r="K137" i="2"/>
  <c r="H138" i="2" s="1"/>
  <c r="L137" i="2" l="1"/>
  <c r="O137" i="2" s="1"/>
  <c r="R137" i="2" s="1"/>
  <c r="J138" i="2"/>
  <c r="K138" i="2"/>
  <c r="I139" i="2"/>
  <c r="H139" i="2"/>
  <c r="I140" i="2" s="1"/>
  <c r="L138" i="2" l="1"/>
  <c r="O138" i="2" s="1"/>
  <c r="R138" i="2" s="1"/>
  <c r="J139" i="2"/>
  <c r="K139" i="2"/>
  <c r="H140" i="2"/>
  <c r="I141" i="2" s="1"/>
  <c r="L139" i="2" l="1"/>
  <c r="O139" i="2" s="1"/>
  <c r="R139" i="2" s="1"/>
  <c r="J140" i="2"/>
  <c r="K140" i="2"/>
  <c r="H141" i="2" s="1"/>
  <c r="L140" i="2" l="1"/>
  <c r="O140" i="2" s="1"/>
  <c r="R140" i="2" s="1"/>
  <c r="J141" i="2"/>
  <c r="K141" i="2"/>
  <c r="I142" i="2"/>
  <c r="H142" i="2"/>
  <c r="I143" i="2" s="1"/>
  <c r="L141" i="2" l="1"/>
  <c r="O141" i="2" s="1"/>
  <c r="R141" i="2" s="1"/>
  <c r="J142" i="2"/>
  <c r="K142" i="2"/>
  <c r="H143" i="2"/>
  <c r="I144" i="2" s="1"/>
  <c r="L142" i="2" l="1"/>
  <c r="O142" i="2" s="1"/>
  <c r="R142" i="2" s="1"/>
  <c r="J143" i="2"/>
  <c r="K143" i="2"/>
  <c r="H144" i="2" s="1"/>
  <c r="L143" i="2" l="1"/>
  <c r="O143" i="2" s="1"/>
  <c r="R143" i="2" s="1"/>
  <c r="J144" i="2"/>
  <c r="K144" i="2"/>
  <c r="I145" i="2"/>
  <c r="H145" i="2"/>
  <c r="I146" i="2" s="1"/>
  <c r="L144" i="2" l="1"/>
  <c r="O144" i="2" s="1"/>
  <c r="R144" i="2" s="1"/>
  <c r="J145" i="2"/>
  <c r="K145" i="2"/>
  <c r="H146" i="2"/>
  <c r="I147" i="2" s="1"/>
  <c r="L145" i="2" l="1"/>
  <c r="O145" i="2" s="1"/>
  <c r="R145" i="2" s="1"/>
  <c r="J146" i="2"/>
  <c r="K146" i="2"/>
  <c r="H147" i="2"/>
  <c r="I148" i="2" s="1"/>
  <c r="L146" i="2" l="1"/>
  <c r="O146" i="2" s="1"/>
  <c r="R146" i="2" s="1"/>
  <c r="J147" i="2"/>
  <c r="K147" i="2"/>
  <c r="H148" i="2" s="1"/>
  <c r="L147" i="2" l="1"/>
  <c r="O147" i="2" s="1"/>
  <c r="R147" i="2" s="1"/>
  <c r="J148" i="2"/>
  <c r="K148" i="2"/>
  <c r="I149" i="2"/>
  <c r="H149" i="2"/>
  <c r="I150" i="2" s="1"/>
  <c r="L148" i="2" l="1"/>
  <c r="O148" i="2" s="1"/>
  <c r="R148" i="2" s="1"/>
  <c r="J149" i="2"/>
  <c r="K149" i="2"/>
  <c r="H150" i="2"/>
  <c r="I151" i="2" s="1"/>
  <c r="L149" i="2" l="1"/>
  <c r="O149" i="2" s="1"/>
  <c r="R149" i="2" s="1"/>
  <c r="J150" i="2"/>
  <c r="K150" i="2"/>
  <c r="H151" i="2" s="1"/>
  <c r="L150" i="2" l="1"/>
  <c r="O150" i="2" s="1"/>
  <c r="R150" i="2" s="1"/>
  <c r="J151" i="2"/>
  <c r="K151" i="2"/>
  <c r="I152" i="2"/>
  <c r="H152" i="2"/>
  <c r="I153" i="2" s="1"/>
  <c r="L151" i="2" l="1"/>
  <c r="O151" i="2" s="1"/>
  <c r="R151" i="2" s="1"/>
  <c r="J152" i="2"/>
  <c r="K152" i="2"/>
  <c r="H153" i="2"/>
  <c r="I154" i="2" s="1"/>
  <c r="L152" i="2" l="1"/>
  <c r="O152" i="2" s="1"/>
  <c r="R152" i="2" s="1"/>
  <c r="J153" i="2"/>
  <c r="K153" i="2"/>
  <c r="H154" i="2" s="1"/>
  <c r="L153" i="2" l="1"/>
  <c r="O153" i="2" s="1"/>
  <c r="R153" i="2" s="1"/>
  <c r="J154" i="2"/>
  <c r="K154" i="2"/>
  <c r="I155" i="2"/>
  <c r="H155" i="2"/>
  <c r="I156" i="2" s="1"/>
  <c r="L154" i="2" l="1"/>
  <c r="O154" i="2" s="1"/>
  <c r="R154" i="2" s="1"/>
  <c r="J155" i="2"/>
  <c r="K155" i="2"/>
  <c r="H156" i="2"/>
  <c r="I157" i="2" s="1"/>
  <c r="L155" i="2" l="1"/>
  <c r="O155" i="2" s="1"/>
  <c r="R155" i="2" s="1"/>
  <c r="J156" i="2"/>
  <c r="K156" i="2"/>
  <c r="H157" i="2" s="1"/>
  <c r="L156" i="2" l="1"/>
  <c r="O156" i="2" s="1"/>
  <c r="R156" i="2" s="1"/>
  <c r="J157" i="2"/>
  <c r="K157" i="2"/>
  <c r="I158" i="2"/>
  <c r="H158" i="2"/>
  <c r="I159" i="2" s="1"/>
  <c r="L157" i="2" l="1"/>
  <c r="O157" i="2" s="1"/>
  <c r="R157" i="2" s="1"/>
  <c r="J158" i="2"/>
  <c r="K158" i="2"/>
  <c r="H159" i="2" s="1"/>
  <c r="L158" i="2" l="1"/>
  <c r="O158" i="2" s="1"/>
  <c r="R158" i="2" s="1"/>
  <c r="J159" i="2"/>
  <c r="K159" i="2"/>
  <c r="I160" i="2"/>
  <c r="H160" i="2"/>
  <c r="I161" i="2" s="1"/>
  <c r="L159" i="2" l="1"/>
  <c r="O159" i="2" s="1"/>
  <c r="R159" i="2" s="1"/>
  <c r="J160" i="2"/>
  <c r="K160" i="2"/>
  <c r="H161" i="2" s="1"/>
  <c r="L160" i="2" l="1"/>
  <c r="O160" i="2" s="1"/>
  <c r="R160" i="2" s="1"/>
  <c r="J161" i="2"/>
  <c r="K161" i="2"/>
  <c r="I162" i="2"/>
  <c r="H162" i="2"/>
  <c r="I163" i="2" s="1"/>
  <c r="L161" i="2" l="1"/>
  <c r="O161" i="2" s="1"/>
  <c r="R161" i="2" s="1"/>
  <c r="J162" i="2"/>
  <c r="K162" i="2"/>
  <c r="H163" i="2"/>
  <c r="I164" i="2" s="1"/>
  <c r="L162" i="2" l="1"/>
  <c r="O162" i="2" s="1"/>
  <c r="R162" i="2" s="1"/>
  <c r="J163" i="2"/>
  <c r="K163" i="2"/>
  <c r="H164" i="2"/>
  <c r="I165" i="2" s="1"/>
  <c r="L163" i="2" l="1"/>
  <c r="O163" i="2" s="1"/>
  <c r="R163" i="2" s="1"/>
  <c r="J164" i="2"/>
  <c r="K164" i="2"/>
  <c r="H165" i="2" s="1"/>
  <c r="L164" i="2" l="1"/>
  <c r="O164" i="2" s="1"/>
  <c r="R164" i="2" s="1"/>
  <c r="J165" i="2"/>
  <c r="K165" i="2"/>
  <c r="I166" i="2"/>
  <c r="H166" i="2"/>
  <c r="I167" i="2" s="1"/>
  <c r="L165" i="2" l="1"/>
  <c r="O165" i="2" s="1"/>
  <c r="R165" i="2" l="1"/>
  <c r="J166" i="2"/>
  <c r="K166" i="2"/>
  <c r="H167" i="2"/>
  <c r="I168" i="2" s="1"/>
  <c r="L166" i="2" l="1"/>
  <c r="O166" i="2" s="1"/>
  <c r="R166" i="2" l="1"/>
  <c r="J167" i="2"/>
  <c r="K167" i="2"/>
  <c r="H168" i="2" s="1"/>
  <c r="L167" i="2" l="1"/>
  <c r="O167" i="2" s="1"/>
  <c r="R167" i="2" s="1"/>
  <c r="J168" i="2"/>
  <c r="K168" i="2"/>
  <c r="I169" i="2"/>
  <c r="H169" i="2"/>
  <c r="I170" i="2" s="1"/>
  <c r="L168" i="2" l="1"/>
  <c r="O168" i="2" s="1"/>
  <c r="R168" i="2" s="1"/>
  <c r="J169" i="2"/>
  <c r="K169" i="2"/>
  <c r="H170" i="2" s="1"/>
  <c r="L169" i="2" l="1"/>
  <c r="O169" i="2" s="1"/>
  <c r="R169" i="2" s="1"/>
  <c r="J170" i="2"/>
  <c r="K170" i="2"/>
  <c r="I171" i="2"/>
  <c r="H171" i="2"/>
  <c r="I172" i="2" s="1"/>
  <c r="L170" i="2" l="1"/>
  <c r="O170" i="2" s="1"/>
  <c r="R170" i="2" s="1"/>
  <c r="J171" i="2"/>
  <c r="K171" i="2"/>
  <c r="H172" i="2" s="1"/>
  <c r="L171" i="2" l="1"/>
  <c r="O171" i="2" s="1"/>
  <c r="R171" i="2" s="1"/>
  <c r="J172" i="2"/>
  <c r="K172" i="2"/>
  <c r="I173" i="2"/>
  <c r="H173" i="2"/>
  <c r="I174" i="2" s="1"/>
  <c r="L172" i="2" l="1"/>
  <c r="O172" i="2" s="1"/>
  <c r="R172" i="2" s="1"/>
  <c r="J173" i="2"/>
  <c r="K173" i="2"/>
  <c r="H174" i="2"/>
  <c r="I175" i="2" s="1"/>
  <c r="L173" i="2" l="1"/>
  <c r="O173" i="2" s="1"/>
  <c r="R173" i="2" s="1"/>
  <c r="J174" i="2"/>
  <c r="K174" i="2"/>
  <c r="H175" i="2" s="1"/>
  <c r="L174" i="2" l="1"/>
  <c r="O174" i="2" s="1"/>
  <c r="R174" i="2" s="1"/>
  <c r="J175" i="2"/>
  <c r="K175" i="2"/>
  <c r="I176" i="2"/>
  <c r="H176" i="2"/>
  <c r="I177" i="2" s="1"/>
  <c r="L175" i="2" l="1"/>
  <c r="O175" i="2" s="1"/>
  <c r="R175" i="2" s="1"/>
  <c r="J176" i="2"/>
  <c r="K176" i="2"/>
  <c r="H177" i="2"/>
  <c r="I178" i="2" s="1"/>
  <c r="L176" i="2" l="1"/>
  <c r="O176" i="2" s="1"/>
  <c r="R176" i="2" s="1"/>
  <c r="J177" i="2"/>
  <c r="K177" i="2"/>
  <c r="H178" i="2" s="1"/>
  <c r="L177" i="2" l="1"/>
  <c r="O177" i="2" s="1"/>
  <c r="R177" i="2" s="1"/>
  <c r="J178" i="2"/>
  <c r="K178" i="2"/>
  <c r="I179" i="2"/>
  <c r="H179" i="2"/>
  <c r="I180" i="2" s="1"/>
  <c r="L178" i="2" l="1"/>
  <c r="O178" i="2" s="1"/>
  <c r="R178" i="2" s="1"/>
  <c r="J179" i="2"/>
  <c r="K179" i="2"/>
  <c r="H180" i="2" s="1"/>
  <c r="L179" i="2" l="1"/>
  <c r="O179" i="2" s="1"/>
  <c r="R179" i="2" s="1"/>
  <c r="J180" i="2"/>
  <c r="K180" i="2"/>
  <c r="I181" i="2"/>
  <c r="H181" i="2"/>
  <c r="I182" i="2" s="1"/>
  <c r="L180" i="2" l="1"/>
  <c r="O180" i="2" s="1"/>
  <c r="R180" i="2" s="1"/>
  <c r="J181" i="2"/>
  <c r="K181" i="2"/>
  <c r="H182" i="2" s="1"/>
  <c r="L181" i="2" l="1"/>
  <c r="O181" i="2" s="1"/>
  <c r="R181" i="2" s="1"/>
  <c r="J182" i="2"/>
  <c r="K182" i="2"/>
  <c r="I183" i="2"/>
  <c r="H183" i="2"/>
  <c r="I184" i="2" s="1"/>
  <c r="L182" i="2" l="1"/>
  <c r="O182" i="2" s="1"/>
  <c r="R182" i="2" s="1"/>
  <c r="J183" i="2"/>
  <c r="K183" i="2"/>
  <c r="H184" i="2" s="1"/>
  <c r="L183" i="2" l="1"/>
  <c r="O183" i="2" s="1"/>
  <c r="R183" i="2" s="1"/>
  <c r="J184" i="2"/>
  <c r="K184" i="2"/>
  <c r="I185" i="2"/>
  <c r="H185" i="2"/>
  <c r="I186" i="2" s="1"/>
  <c r="L184" i="2" l="1"/>
  <c r="O184" i="2" s="1"/>
  <c r="R184" i="2" s="1"/>
  <c r="J185" i="2"/>
  <c r="K185" i="2"/>
  <c r="H186" i="2"/>
  <c r="I187" i="2" s="1"/>
  <c r="L185" i="2" l="1"/>
  <c r="O185" i="2" s="1"/>
  <c r="R185" i="2" s="1"/>
  <c r="J186" i="2"/>
  <c r="K186" i="2"/>
  <c r="H187" i="2"/>
  <c r="I188" i="2" s="1"/>
  <c r="L186" i="2" l="1"/>
  <c r="O186" i="2" s="1"/>
  <c r="J187" i="2"/>
  <c r="K187" i="2"/>
  <c r="H188" i="2" s="1"/>
  <c r="L187" i="2" l="1"/>
  <c r="O187" i="2" s="1"/>
  <c r="R187" i="2" s="1"/>
  <c r="R186" i="2"/>
  <c r="J188" i="2"/>
  <c r="K188" i="2"/>
  <c r="I189" i="2"/>
  <c r="H189" i="2"/>
  <c r="I190" i="2" s="1"/>
  <c r="L188" i="2" l="1"/>
  <c r="O188" i="2" s="1"/>
  <c r="J189" i="2"/>
  <c r="K189" i="2"/>
  <c r="H190" i="2"/>
  <c r="I191" i="2" s="1"/>
  <c r="L189" i="2" l="1"/>
  <c r="O189" i="2" s="1"/>
  <c r="R189" i="2" s="1"/>
  <c r="R188" i="2"/>
  <c r="J190" i="2"/>
  <c r="K190" i="2"/>
  <c r="H191" i="2" s="1"/>
  <c r="L190" i="2" l="1"/>
  <c r="O190" i="2" s="1"/>
  <c r="J191" i="2"/>
  <c r="K191" i="2"/>
  <c r="I192" i="2"/>
  <c r="H192" i="2"/>
  <c r="L191" i="2" l="1"/>
  <c r="O191" i="2" s="1"/>
  <c r="R191" i="2" s="1"/>
  <c r="R190" i="2"/>
  <c r="J192" i="2"/>
  <c r="K192" i="2"/>
  <c r="I193" i="2"/>
  <c r="H193" i="2"/>
  <c r="I194" i="2" s="1"/>
  <c r="L192" i="2" l="1"/>
  <c r="O192" i="2" s="1"/>
  <c r="J193" i="2"/>
  <c r="K193" i="2"/>
  <c r="H194" i="2"/>
  <c r="I195" i="2" s="1"/>
  <c r="L193" i="2" l="1"/>
  <c r="O193" i="2" s="1"/>
  <c r="R193" i="2" s="1"/>
  <c r="R192" i="2"/>
  <c r="J194" i="2"/>
  <c r="K194" i="2"/>
  <c r="H195" i="2" s="1"/>
  <c r="L194" i="2" l="1"/>
  <c r="O194" i="2" s="1"/>
  <c r="J195" i="2"/>
  <c r="K195" i="2"/>
  <c r="I196" i="2"/>
  <c r="H196" i="2"/>
  <c r="I197" i="2" s="1"/>
  <c r="L195" i="2" l="1"/>
  <c r="O195" i="2" s="1"/>
  <c r="R195" i="2" s="1"/>
  <c r="R194" i="2"/>
  <c r="J196" i="2"/>
  <c r="K196" i="2"/>
  <c r="H197" i="2" s="1"/>
  <c r="L196" i="2" l="1"/>
  <c r="O196" i="2" s="1"/>
  <c r="R196" i="2" s="1"/>
  <c r="J197" i="2"/>
  <c r="K197" i="2"/>
  <c r="I198" i="2"/>
  <c r="H198" i="2"/>
  <c r="I199" i="2" s="1"/>
  <c r="L197" i="2" l="1"/>
  <c r="O197" i="2" s="1"/>
  <c r="R197" i="2" s="1"/>
  <c r="J198" i="2"/>
  <c r="K198" i="2"/>
  <c r="H199" i="2" s="1"/>
  <c r="L198" i="2" l="1"/>
  <c r="O198" i="2" s="1"/>
  <c r="R198" i="2" s="1"/>
  <c r="J199" i="2"/>
  <c r="K199" i="2"/>
  <c r="I200" i="2"/>
  <c r="H200" i="2"/>
  <c r="I201" i="2" s="1"/>
  <c r="L199" i="2" l="1"/>
  <c r="O199" i="2" s="1"/>
  <c r="R199" i="2" s="1"/>
  <c r="J200" i="2"/>
  <c r="K200" i="2"/>
  <c r="H201" i="2"/>
  <c r="I202" i="2" s="1"/>
  <c r="L200" i="2" l="1"/>
  <c r="O200" i="2" s="1"/>
  <c r="R200" i="2" s="1"/>
  <c r="J201" i="2"/>
  <c r="K201" i="2"/>
  <c r="H202" i="2" s="1"/>
  <c r="L201" i="2" l="1"/>
  <c r="O201" i="2" s="1"/>
  <c r="R201" i="2" s="1"/>
  <c r="J202" i="2"/>
  <c r="K202" i="2"/>
  <c r="I203" i="2"/>
  <c r="H203" i="2"/>
  <c r="I204" i="2" s="1"/>
  <c r="L202" i="2" l="1"/>
  <c r="O202" i="2" s="1"/>
  <c r="R202" i="2" s="1"/>
  <c r="J203" i="2"/>
  <c r="K203" i="2"/>
  <c r="H204" i="2" s="1"/>
  <c r="L203" i="2" l="1"/>
  <c r="O203" i="2" s="1"/>
  <c r="R203" i="2" s="1"/>
  <c r="J204" i="2"/>
  <c r="K204" i="2"/>
  <c r="I205" i="2"/>
  <c r="H205" i="2"/>
  <c r="I206" i="2" s="1"/>
  <c r="L204" i="2" l="1"/>
  <c r="O204" i="2" s="1"/>
  <c r="R204" i="2" s="1"/>
  <c r="J205" i="2"/>
  <c r="K205" i="2"/>
  <c r="H206" i="2" s="1"/>
  <c r="L205" i="2" l="1"/>
  <c r="O205" i="2" s="1"/>
  <c r="R205" i="2" s="1"/>
  <c r="J206" i="2"/>
  <c r="K206" i="2"/>
  <c r="V12" i="2" s="1"/>
  <c r="V10" i="2"/>
  <c r="L206" i="2" l="1"/>
  <c r="O206" i="2" s="1"/>
  <c r="V22" i="2"/>
  <c r="V8" i="2"/>
  <c r="V9" i="2"/>
  <c r="R206" i="2" l="1"/>
  <c r="V20" i="2" s="1"/>
  <c r="V19" i="2"/>
  <c r="V1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<sst xmlns="http://schemas.openxmlformats.org/spreadsheetml/2006/main" count="94" uniqueCount="67">
  <si>
    <t>service time distribution</t>
  </si>
  <si>
    <t>probability</t>
  </si>
  <si>
    <t>minute</t>
  </si>
  <si>
    <t>Customer</t>
  </si>
  <si>
    <t>prob. komulatif</t>
  </si>
  <si>
    <t xml:space="preserve">Arrival </t>
  </si>
  <si>
    <t xml:space="preserve">InterArrival </t>
  </si>
  <si>
    <t>Random</t>
  </si>
  <si>
    <t xml:space="preserve">Service Time </t>
  </si>
  <si>
    <t>Queue Time</t>
  </si>
  <si>
    <t>Begind Service</t>
  </si>
  <si>
    <t>Ends Service</t>
  </si>
  <si>
    <t>Spending time /Total</t>
  </si>
  <si>
    <t>Server Idle</t>
  </si>
  <si>
    <t>Time (minute)</t>
  </si>
  <si>
    <t>prob ngantri</t>
  </si>
  <si>
    <t>rata-rata service time</t>
  </si>
  <si>
    <t>rata-rata waktu antri</t>
  </si>
  <si>
    <t>rata-rata interarival</t>
  </si>
  <si>
    <t>Idle percentage</t>
  </si>
  <si>
    <t>interarrival 0</t>
  </si>
  <si>
    <t>Interarival Distribution</t>
  </si>
  <si>
    <t>Probability</t>
  </si>
  <si>
    <t>Cumulative Probability</t>
  </si>
  <si>
    <t>Interarival time (Minute)</t>
  </si>
  <si>
    <t>Server 1 Service Time Distribution</t>
  </si>
  <si>
    <t>Server 2 Service Time Distribution</t>
  </si>
  <si>
    <t>Service Time (Minute)</t>
  </si>
  <si>
    <t>Simulation Table</t>
  </si>
  <si>
    <t>Step</t>
  </si>
  <si>
    <t xml:space="preserve">Activity </t>
  </si>
  <si>
    <t>Clock</t>
  </si>
  <si>
    <t>State</t>
  </si>
  <si>
    <t>Activity</t>
  </si>
  <si>
    <t>Output</t>
  </si>
  <si>
    <t>Customer Number</t>
  </si>
  <si>
    <t>Interarival Time</t>
  </si>
  <si>
    <t>Arival Time</t>
  </si>
  <si>
    <t>Server Chosen</t>
  </si>
  <si>
    <t>Service Time</t>
  </si>
  <si>
    <t>Service Begins</t>
  </si>
  <si>
    <t>Service Done</t>
  </si>
  <si>
    <t>Server 1</t>
  </si>
  <si>
    <t>Server 2</t>
  </si>
  <si>
    <t>Service Delay</t>
  </si>
  <si>
    <t>Time in System</t>
  </si>
  <si>
    <t>Available Time</t>
  </si>
  <si>
    <t>Customer Count</t>
  </si>
  <si>
    <t>Average Interarival Time (Simulated)</t>
  </si>
  <si>
    <t>Average Interarival Time (Distribution)</t>
  </si>
  <si>
    <t>Average Service Time (Simulation)</t>
  </si>
  <si>
    <t>Average Service Time (Distribution)</t>
  </si>
  <si>
    <t>Delay Probability</t>
  </si>
  <si>
    <t>Max Delay Time (Minute)</t>
  </si>
  <si>
    <t>Average Time Spend in System (Minute)</t>
  </si>
  <si>
    <t>Shutdown Time</t>
  </si>
  <si>
    <t>Selected Count</t>
  </si>
  <si>
    <t>rand 1</t>
  </si>
  <si>
    <t>rand 2</t>
  </si>
  <si>
    <t>i</t>
  </si>
  <si>
    <t>x1</t>
  </si>
  <si>
    <t>x2</t>
  </si>
  <si>
    <t>x3</t>
  </si>
  <si>
    <t>label</t>
  </si>
  <si>
    <t>y true</t>
  </si>
  <si>
    <t>y pred</t>
  </si>
  <si>
    <t>manhattan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</si>
</sst>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D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9" fontId="0" fillId="0" borderId="0" xfId="1" applyFont="1"/>
    <xf numFmtId="0" fontId="0" fillId="0" borderId="0" xfId="0" applyAlignment="1">
      <alignment wrapText="1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1" xfId="0" applyFont="1" applyBorder="1"/>
    <xf numFmtId="0" fontId="0" fillId="0" borderId="1" xfId="0" applyFill="1" applyBorder="1"/>
    <xf numFmtId="0" fontId="2" fillId="0" borderId="1" xfId="0" applyFont="1" applyBorder="1" applyAlignment="1">
      <alignment wrapText="1"/>
    </xf>
    <xf numFmtId="0" fontId="2" fillId="0" borderId="5" xfId="0" applyFont="1" applyBorder="1"/>
    <xf numFmtId="0" fontId="0" fillId="3" borderId="1" xfId="0" applyFill="1" applyBorder="1" applyAlignment="1">
      <alignment horizontal="center" vertical="center"/>
    </xf>
    <xf numFmtId="9" fontId="0" fillId="3" borderId="1" xfId="1" applyFon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4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0" fontId="2" fillId="0" borderId="8" xfId="0" applyFont="1" applyBorder="1" applyAlignment="1">
      <alignment horizontal="center" wrapText="1"/>
    </xf>
    <xf numFmtId="0" fontId="2" fillId="0" borderId="8" xfId="0" applyFont="1" applyBorder="1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Delay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d-ID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Delay Time Distribution</a:t>
          </a:r>
        </a:p>
      </cx:txPr>
    </cx:title>
    <cx:plotArea>
      <cx:plotAreaRegion>
        <cx:series layoutId="clusteredColumn" uniqueId="{AAC6340E-4A4A-4696-8900-D8EFBABF7926}">
          <cx:dataId val="0"/>
          <cx:layoutPr>
            <cx:binning intervalClosed="r" underflow="0">
              <cx:binSize val="0.98999999999999999"/>
            </cx:binning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id-ID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</a:rPr>
                  <a:t>Time (Minute)</a:t>
                </a: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Service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d-ID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Service Time Distribution</a:t>
          </a:r>
        </a:p>
      </cx:txPr>
    </cx:title>
    <cx:plotArea>
      <cx:plotAreaRegion>
        <cx:series layoutId="clusteredColumn" uniqueId="{00000000-2D9B-4D9D-8BB6-0B2D25D64D51}">
          <cx:dataId val="0"/>
          <cx:layoutPr>
            <cx:binning intervalClosed="r">
              <cx:binSize val="0.98999999999999999"/>
            </cx:binning>
          </cx:layoutPr>
        </cx:series>
      </cx:plotAreaRegion>
      <cx:axis id="0">
        <cx:catScaling gapWidth="0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id-ID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</a:rPr>
                  <a:t>Time (Minute)</a:t>
                </a:r>
                <a:endPara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24765</xdr:colOff>
      <xdr:row>23</xdr:row>
      <xdr:rowOff>77470</xdr:rowOff>
    </xdr:from>
    <xdr:to>
      <xdr:col>25</xdr:col>
      <xdr:colOff>466725</xdr:colOff>
      <xdr:row>38</xdr:row>
      <xdr:rowOff>77470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7AFCC59-CB63-43AF-ACC6-A81676A57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78540" y="4430395"/>
              <a:ext cx="451866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d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62865</xdr:colOff>
      <xdr:row>39</xdr:row>
      <xdr:rowOff>39370</xdr:rowOff>
    </xdr:from>
    <xdr:to>
      <xdr:col>25</xdr:col>
      <xdr:colOff>504825</xdr:colOff>
      <xdr:row>54</xdr:row>
      <xdr:rowOff>39370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AE251CF-BBE5-4A1B-B944-FCA90FEEFA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16640" y="7440295"/>
              <a:ext cx="4518660" cy="285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d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2"/>
  <sheetViews>
    <sheetView zoomScale="120" workbookViewId="0">
      <selection activeCell="F3" sqref="F3:F102"/>
    </sheetView>
  </sheetViews>
  <sheetFormatPr defaultRowHeight="15" x14ac:dyDescent="0.25"/>
  <cols>
    <col min="2" max="2" width="11.140625" customWidth="1"/>
    <col min="5" max="5" width="11" customWidth="1"/>
    <col min="6" max="6" width="10.140625" customWidth="1"/>
    <col min="7" max="7" width="10.5703125" customWidth="1"/>
    <col min="8" max="8" width="15.28515625" bestFit="1" customWidth="1"/>
    <col min="9" max="9" width="10.7109375" customWidth="1"/>
  </cols>
  <sheetData>
    <row r="1" spans="1:15" x14ac:dyDescent="0.25">
      <c r="A1" t="s">
        <v>0</v>
      </c>
      <c r="H1" s="17" t="s">
        <v>14</v>
      </c>
      <c r="I1" s="17"/>
      <c r="J1" s="17"/>
      <c r="K1" s="17"/>
      <c r="L1" s="17"/>
      <c r="M1" s="17"/>
      <c r="N1" s="17"/>
      <c r="O1" s="17"/>
    </row>
    <row r="2" spans="1:15" ht="45" x14ac:dyDescent="0.25">
      <c r="A2" t="s">
        <v>2</v>
      </c>
      <c r="B2" t="s">
        <v>1</v>
      </c>
      <c r="C2" t="s">
        <v>4</v>
      </c>
      <c r="F2" s="3" t="s">
        <v>7</v>
      </c>
      <c r="G2" s="3" t="s">
        <v>3</v>
      </c>
      <c r="H2" s="3" t="s">
        <v>6</v>
      </c>
      <c r="I2" s="3" t="s">
        <v>5</v>
      </c>
      <c r="J2" s="3" t="s">
        <v>8</v>
      </c>
      <c r="K2" s="3" t="s">
        <v>10</v>
      </c>
      <c r="L2" s="3" t="s">
        <v>9</v>
      </c>
      <c r="M2" s="3" t="s">
        <v>11</v>
      </c>
      <c r="N2" s="3" t="s">
        <v>12</v>
      </c>
      <c r="O2" s="3" t="s">
        <v>13</v>
      </c>
    </row>
    <row r="3" spans="1:15" x14ac:dyDescent="0.25">
      <c r="A3">
        <v>1</v>
      </c>
      <c r="B3">
        <v>0.1</v>
      </c>
      <c r="C3">
        <v>0.1</v>
      </c>
      <c r="F3">
        <v>0.89425936724012201</v>
      </c>
      <c r="G3">
        <v>1</v>
      </c>
      <c r="H3">
        <v>3</v>
      </c>
      <c r="I3">
        <v>0</v>
      </c>
      <c r="J3">
        <f t="shared" ref="J3:J34" si="0">ServiceTime(F3)</f>
        <v>5</v>
      </c>
      <c r="K3">
        <v>0</v>
      </c>
      <c r="L3">
        <f>K3-I3</f>
        <v>0</v>
      </c>
      <c r="M3">
        <f>K3+J3</f>
        <v>5</v>
      </c>
      <c r="N3">
        <f>J3+L3</f>
        <v>5</v>
      </c>
      <c r="O3">
        <v>0</v>
      </c>
    </row>
    <row r="4" spans="1:15" x14ac:dyDescent="0.25">
      <c r="A4">
        <v>2</v>
      </c>
      <c r="B4">
        <v>0.2</v>
      </c>
      <c r="C4">
        <f>C3+B4</f>
        <v>0.30000000000000004</v>
      </c>
      <c r="F4">
        <v>0.36146493088760789</v>
      </c>
      <c r="G4">
        <v>2</v>
      </c>
      <c r="H4">
        <v>8</v>
      </c>
      <c r="I4">
        <f>I3+H4</f>
        <v>8</v>
      </c>
      <c r="J4">
        <f t="shared" si="0"/>
        <v>3</v>
      </c>
      <c r="K4">
        <f>MAX(K3+J3,I4)</f>
        <v>8</v>
      </c>
      <c r="L4">
        <f>K4-I4</f>
        <v>0</v>
      </c>
      <c r="M4">
        <f t="shared" ref="M4:M67" si="1">K4+J4</f>
        <v>11</v>
      </c>
      <c r="N4">
        <f t="shared" ref="N4:N67" si="2">J4+L4</f>
        <v>3</v>
      </c>
      <c r="O4">
        <f>K4-M3</f>
        <v>3</v>
      </c>
    </row>
    <row r="5" spans="1:15" x14ac:dyDescent="0.25">
      <c r="A5">
        <v>3</v>
      </c>
      <c r="B5">
        <v>0.3</v>
      </c>
      <c r="C5">
        <f t="shared" ref="C5:C8" si="3">C4+B5</f>
        <v>0.60000000000000009</v>
      </c>
      <c r="F5">
        <v>0.33885928317687231</v>
      </c>
      <c r="G5">
        <v>3</v>
      </c>
      <c r="H5">
        <v>4</v>
      </c>
      <c r="I5">
        <f>I4+H5</f>
        <v>12</v>
      </c>
      <c r="J5">
        <f t="shared" si="0"/>
        <v>3</v>
      </c>
      <c r="K5">
        <f t="shared" ref="K5:K68" si="4">MAX(K4+J4,I5)</f>
        <v>12</v>
      </c>
      <c r="L5">
        <f>K5-I5</f>
        <v>0</v>
      </c>
      <c r="M5">
        <f t="shared" si="1"/>
        <v>15</v>
      </c>
      <c r="N5">
        <f>J5+L5</f>
        <v>3</v>
      </c>
      <c r="O5">
        <f t="shared" ref="O5:O68" si="5">K5-M4</f>
        <v>1</v>
      </c>
    </row>
    <row r="6" spans="1:15" x14ac:dyDescent="0.25">
      <c r="A6">
        <v>4</v>
      </c>
      <c r="B6">
        <v>0.25</v>
      </c>
      <c r="C6">
        <f t="shared" si="3"/>
        <v>0.85000000000000009</v>
      </c>
      <c r="F6">
        <v>0.16517626465401092</v>
      </c>
      <c r="G6">
        <v>4</v>
      </c>
      <c r="H6">
        <v>3</v>
      </c>
      <c r="I6">
        <f t="shared" ref="I6:I68" si="6">I5+H6</f>
        <v>15</v>
      </c>
      <c r="J6">
        <f t="shared" si="0"/>
        <v>2</v>
      </c>
      <c r="K6">
        <f t="shared" si="4"/>
        <v>15</v>
      </c>
      <c r="L6">
        <f t="shared" ref="L6:L67" si="7">K6-I6</f>
        <v>0</v>
      </c>
      <c r="M6">
        <f t="shared" si="1"/>
        <v>17</v>
      </c>
      <c r="N6">
        <f t="shared" si="2"/>
        <v>2</v>
      </c>
      <c r="O6">
        <f t="shared" si="5"/>
        <v>0</v>
      </c>
    </row>
    <row r="7" spans="1:15" x14ac:dyDescent="0.25">
      <c r="A7">
        <v>5</v>
      </c>
      <c r="B7">
        <v>0.1</v>
      </c>
      <c r="C7">
        <f t="shared" si="3"/>
        <v>0.95000000000000007</v>
      </c>
      <c r="F7">
        <v>0.99254637659717904</v>
      </c>
      <c r="G7">
        <v>5</v>
      </c>
      <c r="H7">
        <v>8</v>
      </c>
      <c r="I7">
        <f t="shared" si="6"/>
        <v>23</v>
      </c>
      <c r="J7">
        <f t="shared" si="0"/>
        <v>6</v>
      </c>
      <c r="K7">
        <f t="shared" si="4"/>
        <v>23</v>
      </c>
      <c r="L7">
        <f t="shared" si="7"/>
        <v>0</v>
      </c>
      <c r="M7">
        <f t="shared" si="1"/>
        <v>29</v>
      </c>
      <c r="N7">
        <f t="shared" si="2"/>
        <v>6</v>
      </c>
      <c r="O7">
        <f t="shared" si="5"/>
        <v>6</v>
      </c>
    </row>
    <row r="8" spans="1:15" x14ac:dyDescent="0.25">
      <c r="A8">
        <v>6</v>
      </c>
      <c r="B8">
        <v>0.05</v>
      </c>
      <c r="C8">
        <f t="shared" si="3"/>
        <v>1</v>
      </c>
      <c r="F8">
        <v>0.64636357401259092</v>
      </c>
      <c r="G8">
        <v>6</v>
      </c>
      <c r="H8">
        <v>1</v>
      </c>
      <c r="I8">
        <f t="shared" si="6"/>
        <v>24</v>
      </c>
      <c r="J8">
        <f t="shared" si="0"/>
        <v>4</v>
      </c>
      <c r="K8">
        <f>MAX(K7+J7,I8)</f>
        <v>29</v>
      </c>
      <c r="L8">
        <f t="shared" si="7"/>
        <v>5</v>
      </c>
      <c r="M8">
        <f t="shared" si="1"/>
        <v>33</v>
      </c>
      <c r="N8">
        <f t="shared" si="2"/>
        <v>9</v>
      </c>
      <c r="O8">
        <f t="shared" si="5"/>
        <v>0</v>
      </c>
    </row>
    <row r="9" spans="1:15" x14ac:dyDescent="0.25">
      <c r="B9" s="1">
        <f>SUM(A3*B3,A4*B4,A5*B5,A6*B6,A7*B7,A8*B8)</f>
        <v>3.2</v>
      </c>
      <c r="F9">
        <v>0.48807398402589264</v>
      </c>
      <c r="G9">
        <v>7</v>
      </c>
      <c r="H9">
        <v>5</v>
      </c>
      <c r="I9">
        <f t="shared" si="6"/>
        <v>29</v>
      </c>
      <c r="J9">
        <f t="shared" si="0"/>
        <v>3</v>
      </c>
      <c r="K9">
        <f t="shared" si="4"/>
        <v>33</v>
      </c>
      <c r="L9">
        <f t="shared" si="7"/>
        <v>4</v>
      </c>
      <c r="M9">
        <f t="shared" si="1"/>
        <v>36</v>
      </c>
      <c r="N9">
        <f t="shared" si="2"/>
        <v>7</v>
      </c>
      <c r="O9">
        <f t="shared" si="5"/>
        <v>0</v>
      </c>
    </row>
    <row r="10" spans="1:15" x14ac:dyDescent="0.25">
      <c r="A10" t="s">
        <v>17</v>
      </c>
      <c r="C10">
        <f>AVERAGE(L3:L102)</f>
        <v>2.44</v>
      </c>
      <c r="F10">
        <v>0.94033864113822352</v>
      </c>
      <c r="G10">
        <v>8</v>
      </c>
      <c r="H10">
        <v>5</v>
      </c>
      <c r="I10">
        <f t="shared" si="6"/>
        <v>34</v>
      </c>
      <c r="J10">
        <f t="shared" si="0"/>
        <v>5</v>
      </c>
      <c r="K10">
        <f t="shared" si="4"/>
        <v>36</v>
      </c>
      <c r="L10">
        <f t="shared" si="7"/>
        <v>2</v>
      </c>
      <c r="M10">
        <f t="shared" si="1"/>
        <v>41</v>
      </c>
      <c r="N10">
        <f t="shared" si="2"/>
        <v>7</v>
      </c>
      <c r="O10">
        <f t="shared" si="5"/>
        <v>0</v>
      </c>
    </row>
    <row r="11" spans="1:15" x14ac:dyDescent="0.25">
      <c r="A11" t="s">
        <v>15</v>
      </c>
      <c r="C11">
        <f>1 - COUNTIF(L3:L102,0)/100</f>
        <v>0.54</v>
      </c>
      <c r="F11">
        <v>0.98575344958774969</v>
      </c>
      <c r="G11">
        <v>9</v>
      </c>
      <c r="H11">
        <v>1</v>
      </c>
      <c r="I11">
        <f t="shared" si="6"/>
        <v>35</v>
      </c>
      <c r="J11">
        <f t="shared" si="0"/>
        <v>6</v>
      </c>
      <c r="K11">
        <f t="shared" si="4"/>
        <v>41</v>
      </c>
      <c r="L11">
        <f t="shared" si="7"/>
        <v>6</v>
      </c>
      <c r="M11">
        <f t="shared" si="1"/>
        <v>47</v>
      </c>
      <c r="N11">
        <f t="shared" si="2"/>
        <v>12</v>
      </c>
      <c r="O11">
        <f t="shared" si="5"/>
        <v>0</v>
      </c>
    </row>
    <row r="12" spans="1:15" x14ac:dyDescent="0.25">
      <c r="A12" t="s">
        <v>16</v>
      </c>
      <c r="C12" s="1">
        <f>AVERAGE(J3:J102)</f>
        <v>3.25</v>
      </c>
      <c r="F12">
        <v>0.70485037642403958</v>
      </c>
      <c r="G12">
        <v>10</v>
      </c>
      <c r="H12">
        <v>5</v>
      </c>
      <c r="I12">
        <f t="shared" si="6"/>
        <v>40</v>
      </c>
      <c r="J12">
        <f t="shared" si="0"/>
        <v>4</v>
      </c>
      <c r="K12">
        <f t="shared" si="4"/>
        <v>47</v>
      </c>
      <c r="L12">
        <f t="shared" si="7"/>
        <v>7</v>
      </c>
      <c r="M12">
        <f t="shared" si="1"/>
        <v>51</v>
      </c>
      <c r="N12">
        <f t="shared" si="2"/>
        <v>11</v>
      </c>
      <c r="O12">
        <f t="shared" si="5"/>
        <v>0</v>
      </c>
    </row>
    <row r="13" spans="1:15" x14ac:dyDescent="0.25">
      <c r="A13" t="s">
        <v>18</v>
      </c>
      <c r="C13">
        <f>AVERAGE(H3:H102)</f>
        <v>4.21</v>
      </c>
      <c r="F13">
        <v>0.37190654446367044</v>
      </c>
      <c r="G13">
        <v>11</v>
      </c>
      <c r="H13">
        <v>5</v>
      </c>
      <c r="I13">
        <f t="shared" si="6"/>
        <v>45</v>
      </c>
      <c r="J13">
        <f t="shared" si="0"/>
        <v>3</v>
      </c>
      <c r="K13">
        <f t="shared" si="4"/>
        <v>51</v>
      </c>
      <c r="L13">
        <f t="shared" si="7"/>
        <v>6</v>
      </c>
      <c r="M13">
        <f t="shared" si="1"/>
        <v>54</v>
      </c>
      <c r="N13">
        <f t="shared" si="2"/>
        <v>9</v>
      </c>
      <c r="O13">
        <f t="shared" si="5"/>
        <v>0</v>
      </c>
    </row>
    <row r="14" spans="1:15" x14ac:dyDescent="0.25">
      <c r="A14" t="s">
        <v>19</v>
      </c>
      <c r="C14" s="2">
        <f>SUM(O3:O102)/M102</f>
        <v>0.23349056603773585</v>
      </c>
      <c r="F14">
        <v>0.86550164716070221</v>
      </c>
      <c r="G14">
        <v>12</v>
      </c>
      <c r="H14">
        <v>0</v>
      </c>
      <c r="I14">
        <f t="shared" si="6"/>
        <v>45</v>
      </c>
      <c r="J14">
        <f t="shared" si="0"/>
        <v>5</v>
      </c>
      <c r="K14">
        <f>MAX(K13+J13,I14)</f>
        <v>54</v>
      </c>
      <c r="L14">
        <f t="shared" si="7"/>
        <v>9</v>
      </c>
      <c r="M14">
        <f t="shared" si="1"/>
        <v>59</v>
      </c>
      <c r="N14">
        <f t="shared" si="2"/>
        <v>14</v>
      </c>
      <c r="O14">
        <f t="shared" si="5"/>
        <v>0</v>
      </c>
    </row>
    <row r="15" spans="1:15" x14ac:dyDescent="0.25">
      <c r="A15" t="s">
        <v>20</v>
      </c>
      <c r="C15">
        <f>COUNTIF(H3:H102,0)</f>
        <v>11</v>
      </c>
      <c r="F15">
        <v>0.86339547451531273</v>
      </c>
      <c r="G15">
        <v>13</v>
      </c>
      <c r="H15">
        <v>2</v>
      </c>
      <c r="I15">
        <f t="shared" si="6"/>
        <v>47</v>
      </c>
      <c r="J15">
        <f t="shared" si="0"/>
        <v>5</v>
      </c>
      <c r="K15">
        <f t="shared" si="4"/>
        <v>59</v>
      </c>
      <c r="L15">
        <f t="shared" si="7"/>
        <v>12</v>
      </c>
      <c r="M15">
        <f t="shared" si="1"/>
        <v>64</v>
      </c>
      <c r="N15">
        <f t="shared" si="2"/>
        <v>17</v>
      </c>
      <c r="O15">
        <f t="shared" si="5"/>
        <v>0</v>
      </c>
    </row>
    <row r="16" spans="1:15" x14ac:dyDescent="0.25">
      <c r="F16">
        <v>0.53955487642669064</v>
      </c>
      <c r="G16">
        <v>14</v>
      </c>
      <c r="H16">
        <v>1</v>
      </c>
      <c r="I16">
        <f t="shared" si="6"/>
        <v>48</v>
      </c>
      <c r="J16">
        <f t="shared" si="0"/>
        <v>3</v>
      </c>
      <c r="K16">
        <f t="shared" si="4"/>
        <v>64</v>
      </c>
      <c r="L16">
        <f t="shared" si="7"/>
        <v>16</v>
      </c>
      <c r="M16">
        <f t="shared" si="1"/>
        <v>67</v>
      </c>
      <c r="N16">
        <f t="shared" si="2"/>
        <v>19</v>
      </c>
      <c r="O16">
        <f t="shared" si="5"/>
        <v>0</v>
      </c>
    </row>
    <row r="17" spans="6:15" x14ac:dyDescent="0.25">
      <c r="F17">
        <v>6.6738065016047843E-2</v>
      </c>
      <c r="G17">
        <v>15</v>
      </c>
      <c r="H17">
        <v>5</v>
      </c>
      <c r="I17">
        <f t="shared" si="6"/>
        <v>53</v>
      </c>
      <c r="J17">
        <f t="shared" si="0"/>
        <v>1</v>
      </c>
      <c r="K17">
        <f t="shared" si="4"/>
        <v>67</v>
      </c>
      <c r="L17">
        <f t="shared" si="7"/>
        <v>14</v>
      </c>
      <c r="M17">
        <f t="shared" si="1"/>
        <v>68</v>
      </c>
      <c r="N17">
        <f t="shared" si="2"/>
        <v>15</v>
      </c>
      <c r="O17">
        <f t="shared" si="5"/>
        <v>0</v>
      </c>
    </row>
    <row r="18" spans="6:15" x14ac:dyDescent="0.25">
      <c r="F18">
        <v>0.11349182881824449</v>
      </c>
      <c r="G18">
        <v>16</v>
      </c>
      <c r="H18">
        <v>6</v>
      </c>
      <c r="I18">
        <f t="shared" si="6"/>
        <v>59</v>
      </c>
      <c r="J18">
        <f t="shared" si="0"/>
        <v>2</v>
      </c>
      <c r="K18">
        <f t="shared" si="4"/>
        <v>68</v>
      </c>
      <c r="L18">
        <f t="shared" si="7"/>
        <v>9</v>
      </c>
      <c r="M18">
        <f t="shared" si="1"/>
        <v>70</v>
      </c>
      <c r="N18">
        <f t="shared" si="2"/>
        <v>11</v>
      </c>
      <c r="O18">
        <f t="shared" si="5"/>
        <v>0</v>
      </c>
    </row>
    <row r="19" spans="6:15" x14ac:dyDescent="0.25">
      <c r="F19">
        <v>0.3723046543606362</v>
      </c>
      <c r="G19">
        <v>17</v>
      </c>
      <c r="H19">
        <v>8</v>
      </c>
      <c r="I19">
        <f t="shared" si="6"/>
        <v>67</v>
      </c>
      <c r="J19">
        <f t="shared" si="0"/>
        <v>3</v>
      </c>
      <c r="K19">
        <f t="shared" si="4"/>
        <v>70</v>
      </c>
      <c r="L19">
        <f t="shared" si="7"/>
        <v>3</v>
      </c>
      <c r="M19">
        <f t="shared" si="1"/>
        <v>73</v>
      </c>
      <c r="N19">
        <f t="shared" si="2"/>
        <v>6</v>
      </c>
      <c r="O19">
        <f t="shared" si="5"/>
        <v>0</v>
      </c>
    </row>
    <row r="20" spans="6:15" x14ac:dyDescent="0.25">
      <c r="F20">
        <v>0.51846955932343675</v>
      </c>
      <c r="G20">
        <v>18</v>
      </c>
      <c r="H20">
        <v>8</v>
      </c>
      <c r="I20">
        <f t="shared" si="6"/>
        <v>75</v>
      </c>
      <c r="J20">
        <f t="shared" si="0"/>
        <v>3</v>
      </c>
      <c r="K20">
        <f t="shared" si="4"/>
        <v>75</v>
      </c>
      <c r="L20">
        <f t="shared" si="7"/>
        <v>0</v>
      </c>
      <c r="M20">
        <f t="shared" si="1"/>
        <v>78</v>
      </c>
      <c r="N20">
        <f t="shared" si="2"/>
        <v>3</v>
      </c>
      <c r="O20">
        <f t="shared" si="5"/>
        <v>2</v>
      </c>
    </row>
    <row r="21" spans="6:15" x14ac:dyDescent="0.25">
      <c r="F21">
        <v>0.38336336370846558</v>
      </c>
      <c r="G21">
        <v>19</v>
      </c>
      <c r="H21">
        <v>7</v>
      </c>
      <c r="I21">
        <f t="shared" si="6"/>
        <v>82</v>
      </c>
      <c r="J21">
        <f t="shared" si="0"/>
        <v>3</v>
      </c>
      <c r="K21">
        <f t="shared" si="4"/>
        <v>82</v>
      </c>
      <c r="L21">
        <f t="shared" si="7"/>
        <v>0</v>
      </c>
      <c r="M21">
        <f t="shared" si="1"/>
        <v>85</v>
      </c>
      <c r="N21">
        <f t="shared" si="2"/>
        <v>3</v>
      </c>
      <c r="O21">
        <f t="shared" si="5"/>
        <v>4</v>
      </c>
    </row>
    <row r="22" spans="6:15" x14ac:dyDescent="0.25">
      <c r="F22">
        <v>0.35570977198124309</v>
      </c>
      <c r="G22">
        <v>20</v>
      </c>
      <c r="H22">
        <v>2</v>
      </c>
      <c r="I22">
        <f t="shared" si="6"/>
        <v>84</v>
      </c>
      <c r="J22">
        <f t="shared" si="0"/>
        <v>3</v>
      </c>
      <c r="K22">
        <f t="shared" si="4"/>
        <v>85</v>
      </c>
      <c r="L22">
        <f t="shared" si="7"/>
        <v>1</v>
      </c>
      <c r="M22">
        <f t="shared" si="1"/>
        <v>88</v>
      </c>
      <c r="N22">
        <f t="shared" si="2"/>
        <v>4</v>
      </c>
      <c r="O22">
        <f t="shared" si="5"/>
        <v>0</v>
      </c>
    </row>
    <row r="23" spans="6:15" x14ac:dyDescent="0.25">
      <c r="F23">
        <v>0.34670573969259588</v>
      </c>
      <c r="G23">
        <v>21</v>
      </c>
      <c r="H23">
        <v>0</v>
      </c>
      <c r="I23">
        <f t="shared" si="6"/>
        <v>84</v>
      </c>
      <c r="J23">
        <f t="shared" si="0"/>
        <v>3</v>
      </c>
      <c r="K23">
        <f t="shared" si="4"/>
        <v>88</v>
      </c>
      <c r="L23">
        <f t="shared" si="7"/>
        <v>4</v>
      </c>
      <c r="M23">
        <f t="shared" si="1"/>
        <v>91</v>
      </c>
      <c r="N23">
        <f t="shared" si="2"/>
        <v>7</v>
      </c>
      <c r="O23">
        <f t="shared" si="5"/>
        <v>0</v>
      </c>
    </row>
    <row r="24" spans="6:15" x14ac:dyDescent="0.25">
      <c r="F24">
        <v>0.14512943749822749</v>
      </c>
      <c r="G24">
        <v>22</v>
      </c>
      <c r="H24">
        <v>0</v>
      </c>
      <c r="I24">
        <f t="shared" si="6"/>
        <v>84</v>
      </c>
      <c r="J24">
        <f t="shared" si="0"/>
        <v>2</v>
      </c>
      <c r="K24">
        <f t="shared" si="4"/>
        <v>91</v>
      </c>
      <c r="L24">
        <f t="shared" si="7"/>
        <v>7</v>
      </c>
      <c r="M24">
        <f t="shared" si="1"/>
        <v>93</v>
      </c>
      <c r="N24">
        <f t="shared" si="2"/>
        <v>9</v>
      </c>
      <c r="O24">
        <f t="shared" si="5"/>
        <v>0</v>
      </c>
    </row>
    <row r="25" spans="6:15" x14ac:dyDescent="0.25">
      <c r="F25">
        <v>0.4726583196125772</v>
      </c>
      <c r="G25">
        <v>23</v>
      </c>
      <c r="H25">
        <v>6</v>
      </c>
      <c r="I25">
        <f t="shared" si="6"/>
        <v>90</v>
      </c>
      <c r="J25">
        <f t="shared" si="0"/>
        <v>3</v>
      </c>
      <c r="K25">
        <f t="shared" si="4"/>
        <v>93</v>
      </c>
      <c r="L25">
        <f t="shared" si="7"/>
        <v>3</v>
      </c>
      <c r="M25">
        <f t="shared" si="1"/>
        <v>96</v>
      </c>
      <c r="N25">
        <f t="shared" si="2"/>
        <v>6</v>
      </c>
      <c r="O25">
        <f t="shared" si="5"/>
        <v>0</v>
      </c>
    </row>
    <row r="26" spans="6:15" x14ac:dyDescent="0.25">
      <c r="F26">
        <v>0.77993568003862257</v>
      </c>
      <c r="G26">
        <v>24</v>
      </c>
      <c r="H26">
        <v>2</v>
      </c>
      <c r="I26">
        <f t="shared" si="6"/>
        <v>92</v>
      </c>
      <c r="J26">
        <f t="shared" si="0"/>
        <v>4</v>
      </c>
      <c r="K26">
        <f t="shared" si="4"/>
        <v>96</v>
      </c>
      <c r="L26">
        <f t="shared" si="7"/>
        <v>4</v>
      </c>
      <c r="M26">
        <f t="shared" si="1"/>
        <v>100</v>
      </c>
      <c r="N26">
        <f t="shared" si="2"/>
        <v>8</v>
      </c>
      <c r="O26">
        <f t="shared" si="5"/>
        <v>0</v>
      </c>
    </row>
    <row r="27" spans="6:15" x14ac:dyDescent="0.25">
      <c r="F27">
        <v>3.0467367153688141E-3</v>
      </c>
      <c r="G27">
        <v>25</v>
      </c>
      <c r="H27">
        <v>6</v>
      </c>
      <c r="I27">
        <f t="shared" si="6"/>
        <v>98</v>
      </c>
      <c r="J27">
        <f t="shared" si="0"/>
        <v>1</v>
      </c>
      <c r="K27">
        <f t="shared" si="4"/>
        <v>100</v>
      </c>
      <c r="L27">
        <f t="shared" si="7"/>
        <v>2</v>
      </c>
      <c r="M27">
        <f t="shared" si="1"/>
        <v>101</v>
      </c>
      <c r="N27">
        <f t="shared" si="2"/>
        <v>3</v>
      </c>
      <c r="O27">
        <f t="shared" si="5"/>
        <v>0</v>
      </c>
    </row>
    <row r="28" spans="6:15" x14ac:dyDescent="0.25">
      <c r="F28">
        <v>0.50629515436355976</v>
      </c>
      <c r="G28">
        <v>26</v>
      </c>
      <c r="H28">
        <v>8</v>
      </c>
      <c r="I28">
        <f t="shared" si="6"/>
        <v>106</v>
      </c>
      <c r="J28">
        <f t="shared" si="0"/>
        <v>3</v>
      </c>
      <c r="K28">
        <f t="shared" si="4"/>
        <v>106</v>
      </c>
      <c r="L28">
        <f t="shared" si="7"/>
        <v>0</v>
      </c>
      <c r="M28">
        <f t="shared" si="1"/>
        <v>109</v>
      </c>
      <c r="N28">
        <f t="shared" si="2"/>
        <v>3</v>
      </c>
      <c r="O28">
        <f t="shared" si="5"/>
        <v>5</v>
      </c>
    </row>
    <row r="29" spans="6:15" x14ac:dyDescent="0.25">
      <c r="F29">
        <v>0.24032215565174919</v>
      </c>
      <c r="G29">
        <v>27</v>
      </c>
      <c r="H29">
        <v>2</v>
      </c>
      <c r="I29">
        <f t="shared" si="6"/>
        <v>108</v>
      </c>
      <c r="J29">
        <f t="shared" si="0"/>
        <v>2</v>
      </c>
      <c r="K29">
        <f t="shared" si="4"/>
        <v>109</v>
      </c>
      <c r="L29">
        <f t="shared" si="7"/>
        <v>1</v>
      </c>
      <c r="M29">
        <f t="shared" si="1"/>
        <v>111</v>
      </c>
      <c r="N29">
        <f t="shared" si="2"/>
        <v>3</v>
      </c>
      <c r="O29">
        <f t="shared" si="5"/>
        <v>0</v>
      </c>
    </row>
    <row r="30" spans="6:15" x14ac:dyDescent="0.25">
      <c r="F30">
        <v>0.5598975524760359</v>
      </c>
      <c r="G30">
        <v>28</v>
      </c>
      <c r="H30">
        <v>7</v>
      </c>
      <c r="I30">
        <f t="shared" si="6"/>
        <v>115</v>
      </c>
      <c r="J30">
        <f t="shared" si="0"/>
        <v>3</v>
      </c>
      <c r="K30">
        <f t="shared" si="4"/>
        <v>115</v>
      </c>
      <c r="L30">
        <f t="shared" si="7"/>
        <v>0</v>
      </c>
      <c r="M30">
        <f t="shared" si="1"/>
        <v>118</v>
      </c>
      <c r="N30">
        <f t="shared" si="2"/>
        <v>3</v>
      </c>
      <c r="O30">
        <f t="shared" si="5"/>
        <v>4</v>
      </c>
    </row>
    <row r="31" spans="6:15" x14ac:dyDescent="0.25">
      <c r="F31">
        <v>0.23747309355148638</v>
      </c>
      <c r="G31">
        <v>29</v>
      </c>
      <c r="H31">
        <v>0</v>
      </c>
      <c r="I31">
        <f t="shared" si="6"/>
        <v>115</v>
      </c>
      <c r="J31">
        <f t="shared" si="0"/>
        <v>2</v>
      </c>
      <c r="K31">
        <f t="shared" si="4"/>
        <v>118</v>
      </c>
      <c r="L31">
        <f t="shared" si="7"/>
        <v>3</v>
      </c>
      <c r="M31">
        <f t="shared" si="1"/>
        <v>120</v>
      </c>
      <c r="N31">
        <f t="shared" si="2"/>
        <v>5</v>
      </c>
      <c r="O31">
        <f t="shared" si="5"/>
        <v>0</v>
      </c>
    </row>
    <row r="32" spans="6:15" x14ac:dyDescent="0.25">
      <c r="F32">
        <v>0.92717026526716939</v>
      </c>
      <c r="G32">
        <v>30</v>
      </c>
      <c r="H32">
        <v>8</v>
      </c>
      <c r="I32">
        <f t="shared" si="6"/>
        <v>123</v>
      </c>
      <c r="J32">
        <f t="shared" si="0"/>
        <v>5</v>
      </c>
      <c r="K32">
        <f t="shared" si="4"/>
        <v>123</v>
      </c>
      <c r="L32">
        <f t="shared" si="7"/>
        <v>0</v>
      </c>
      <c r="M32">
        <f t="shared" si="1"/>
        <v>128</v>
      </c>
      <c r="N32">
        <f t="shared" si="2"/>
        <v>5</v>
      </c>
      <c r="O32">
        <f t="shared" si="5"/>
        <v>3</v>
      </c>
    </row>
    <row r="33" spans="6:15" x14ac:dyDescent="0.25">
      <c r="F33">
        <v>0.77867517592444824</v>
      </c>
      <c r="G33">
        <v>31</v>
      </c>
      <c r="H33">
        <v>3</v>
      </c>
      <c r="I33">
        <f t="shared" si="6"/>
        <v>126</v>
      </c>
      <c r="J33">
        <f t="shared" si="0"/>
        <v>4</v>
      </c>
      <c r="K33">
        <f t="shared" si="4"/>
        <v>128</v>
      </c>
      <c r="L33">
        <f t="shared" si="7"/>
        <v>2</v>
      </c>
      <c r="M33">
        <f t="shared" si="1"/>
        <v>132</v>
      </c>
      <c r="N33">
        <f t="shared" si="2"/>
        <v>6</v>
      </c>
      <c r="O33">
        <f t="shared" si="5"/>
        <v>0</v>
      </c>
    </row>
    <row r="34" spans="6:15" x14ac:dyDescent="0.25">
      <c r="F34">
        <v>0.25114835281611669</v>
      </c>
      <c r="G34">
        <v>32</v>
      </c>
      <c r="H34">
        <v>6</v>
      </c>
      <c r="I34">
        <f t="shared" si="6"/>
        <v>132</v>
      </c>
      <c r="J34">
        <f t="shared" si="0"/>
        <v>2</v>
      </c>
      <c r="K34">
        <f t="shared" si="4"/>
        <v>132</v>
      </c>
      <c r="L34">
        <f t="shared" si="7"/>
        <v>0</v>
      </c>
      <c r="M34">
        <f t="shared" si="1"/>
        <v>134</v>
      </c>
      <c r="N34">
        <f t="shared" si="2"/>
        <v>2</v>
      </c>
      <c r="O34">
        <f t="shared" si="5"/>
        <v>0</v>
      </c>
    </row>
    <row r="35" spans="6:15" x14ac:dyDescent="0.25">
      <c r="F35">
        <v>0.74133115021644003</v>
      </c>
      <c r="G35">
        <v>33</v>
      </c>
      <c r="H35">
        <v>3</v>
      </c>
      <c r="I35">
        <f t="shared" si="6"/>
        <v>135</v>
      </c>
      <c r="J35">
        <f t="shared" ref="J35:J66" si="8">ServiceTime(F35)</f>
        <v>4</v>
      </c>
      <c r="K35">
        <f t="shared" si="4"/>
        <v>135</v>
      </c>
      <c r="L35">
        <f t="shared" si="7"/>
        <v>0</v>
      </c>
      <c r="M35">
        <f t="shared" si="1"/>
        <v>139</v>
      </c>
      <c r="N35">
        <f t="shared" si="2"/>
        <v>4</v>
      </c>
      <c r="O35">
        <f t="shared" si="5"/>
        <v>1</v>
      </c>
    </row>
    <row r="36" spans="6:15" x14ac:dyDescent="0.25">
      <c r="F36">
        <v>0.32215996636460831</v>
      </c>
      <c r="G36">
        <v>34</v>
      </c>
      <c r="H36">
        <v>0</v>
      </c>
      <c r="I36">
        <f t="shared" si="6"/>
        <v>135</v>
      </c>
      <c r="J36">
        <f t="shared" si="8"/>
        <v>3</v>
      </c>
      <c r="K36">
        <f t="shared" si="4"/>
        <v>139</v>
      </c>
      <c r="L36">
        <f t="shared" si="7"/>
        <v>4</v>
      </c>
      <c r="M36">
        <f t="shared" si="1"/>
        <v>142</v>
      </c>
      <c r="N36">
        <f t="shared" si="2"/>
        <v>7</v>
      </c>
      <c r="O36">
        <f t="shared" si="5"/>
        <v>0</v>
      </c>
    </row>
    <row r="37" spans="6:15" x14ac:dyDescent="0.25">
      <c r="F37">
        <v>0.65128202933308565</v>
      </c>
      <c r="G37">
        <v>35</v>
      </c>
      <c r="H37">
        <v>2</v>
      </c>
      <c r="I37">
        <f t="shared" si="6"/>
        <v>137</v>
      </c>
      <c r="J37">
        <f t="shared" si="8"/>
        <v>4</v>
      </c>
      <c r="K37">
        <f t="shared" si="4"/>
        <v>142</v>
      </c>
      <c r="L37">
        <f t="shared" si="7"/>
        <v>5</v>
      </c>
      <c r="M37">
        <f t="shared" si="1"/>
        <v>146</v>
      </c>
      <c r="N37">
        <f t="shared" si="2"/>
        <v>9</v>
      </c>
      <c r="O37">
        <f t="shared" si="5"/>
        <v>0</v>
      </c>
    </row>
    <row r="38" spans="6:15" x14ac:dyDescent="0.25">
      <c r="F38">
        <v>0.7613535056924664</v>
      </c>
      <c r="G38">
        <v>36</v>
      </c>
      <c r="H38">
        <v>8</v>
      </c>
      <c r="I38">
        <f t="shared" si="6"/>
        <v>145</v>
      </c>
      <c r="J38">
        <f t="shared" si="8"/>
        <v>4</v>
      </c>
      <c r="K38">
        <f t="shared" si="4"/>
        <v>146</v>
      </c>
      <c r="L38">
        <f t="shared" si="7"/>
        <v>1</v>
      </c>
      <c r="M38">
        <f t="shared" si="1"/>
        <v>150</v>
      </c>
      <c r="N38">
        <f t="shared" si="2"/>
        <v>5</v>
      </c>
      <c r="O38">
        <f t="shared" si="5"/>
        <v>0</v>
      </c>
    </row>
    <row r="39" spans="6:15" x14ac:dyDescent="0.25">
      <c r="F39">
        <v>6.7433621817325151E-2</v>
      </c>
      <c r="G39">
        <v>37</v>
      </c>
      <c r="H39">
        <v>4</v>
      </c>
      <c r="I39">
        <f t="shared" si="6"/>
        <v>149</v>
      </c>
      <c r="J39">
        <f t="shared" si="8"/>
        <v>1</v>
      </c>
      <c r="K39">
        <f t="shared" si="4"/>
        <v>150</v>
      </c>
      <c r="L39">
        <f t="shared" si="7"/>
        <v>1</v>
      </c>
      <c r="M39">
        <f t="shared" si="1"/>
        <v>151</v>
      </c>
      <c r="N39">
        <f t="shared" si="2"/>
        <v>2</v>
      </c>
      <c r="O39">
        <f t="shared" si="5"/>
        <v>0</v>
      </c>
    </row>
    <row r="40" spans="6:15" x14ac:dyDescent="0.25">
      <c r="F40">
        <v>0.70908499019293092</v>
      </c>
      <c r="G40">
        <v>38</v>
      </c>
      <c r="H40">
        <v>6</v>
      </c>
      <c r="I40">
        <f t="shared" si="6"/>
        <v>155</v>
      </c>
      <c r="J40">
        <f t="shared" si="8"/>
        <v>4</v>
      </c>
      <c r="K40">
        <f t="shared" si="4"/>
        <v>155</v>
      </c>
      <c r="L40">
        <f t="shared" si="7"/>
        <v>0</v>
      </c>
      <c r="M40">
        <f t="shared" si="1"/>
        <v>159</v>
      </c>
      <c r="N40">
        <f t="shared" si="2"/>
        <v>4</v>
      </c>
      <c r="O40">
        <f t="shared" si="5"/>
        <v>4</v>
      </c>
    </row>
    <row r="41" spans="6:15" x14ac:dyDescent="0.25">
      <c r="F41">
        <v>0.65319070365640175</v>
      </c>
      <c r="G41">
        <v>39</v>
      </c>
      <c r="H41">
        <v>6</v>
      </c>
      <c r="I41">
        <f t="shared" si="6"/>
        <v>161</v>
      </c>
      <c r="J41">
        <f t="shared" si="8"/>
        <v>4</v>
      </c>
      <c r="K41">
        <f t="shared" si="4"/>
        <v>161</v>
      </c>
      <c r="L41">
        <f t="shared" si="7"/>
        <v>0</v>
      </c>
      <c r="M41">
        <f t="shared" si="1"/>
        <v>165</v>
      </c>
      <c r="N41">
        <f t="shared" si="2"/>
        <v>4</v>
      </c>
      <c r="O41">
        <f t="shared" si="5"/>
        <v>2</v>
      </c>
    </row>
    <row r="42" spans="6:15" x14ac:dyDescent="0.25">
      <c r="F42">
        <v>4.2756638177301798E-2</v>
      </c>
      <c r="G42">
        <v>40</v>
      </c>
      <c r="H42">
        <v>6</v>
      </c>
      <c r="I42">
        <f t="shared" si="6"/>
        <v>167</v>
      </c>
      <c r="J42">
        <f t="shared" si="8"/>
        <v>1</v>
      </c>
      <c r="K42">
        <f t="shared" si="4"/>
        <v>167</v>
      </c>
      <c r="L42">
        <f t="shared" si="7"/>
        <v>0</v>
      </c>
      <c r="M42">
        <f t="shared" si="1"/>
        <v>168</v>
      </c>
      <c r="N42">
        <f t="shared" si="2"/>
        <v>1</v>
      </c>
      <c r="O42">
        <f t="shared" si="5"/>
        <v>2</v>
      </c>
    </row>
    <row r="43" spans="6:15" x14ac:dyDescent="0.25">
      <c r="F43">
        <v>0.17522378204469158</v>
      </c>
      <c r="G43">
        <v>41</v>
      </c>
      <c r="H43">
        <v>1</v>
      </c>
      <c r="I43">
        <f t="shared" si="6"/>
        <v>168</v>
      </c>
      <c r="J43">
        <f t="shared" si="8"/>
        <v>2</v>
      </c>
      <c r="K43">
        <f t="shared" si="4"/>
        <v>168</v>
      </c>
      <c r="L43">
        <f t="shared" si="7"/>
        <v>0</v>
      </c>
      <c r="M43">
        <f t="shared" si="1"/>
        <v>170</v>
      </c>
      <c r="N43">
        <f t="shared" si="2"/>
        <v>2</v>
      </c>
      <c r="O43">
        <f t="shared" si="5"/>
        <v>0</v>
      </c>
    </row>
    <row r="44" spans="6:15" x14ac:dyDescent="0.25">
      <c r="F44">
        <v>0.25403907944742488</v>
      </c>
      <c r="G44">
        <v>42</v>
      </c>
      <c r="H44">
        <v>6</v>
      </c>
      <c r="I44">
        <f t="shared" si="6"/>
        <v>174</v>
      </c>
      <c r="J44">
        <f t="shared" si="8"/>
        <v>2</v>
      </c>
      <c r="K44">
        <f t="shared" si="4"/>
        <v>174</v>
      </c>
      <c r="L44">
        <f t="shared" si="7"/>
        <v>0</v>
      </c>
      <c r="M44">
        <f t="shared" si="1"/>
        <v>176</v>
      </c>
      <c r="N44">
        <f t="shared" si="2"/>
        <v>2</v>
      </c>
      <c r="O44">
        <f t="shared" si="5"/>
        <v>4</v>
      </c>
    </row>
    <row r="45" spans="6:15" x14ac:dyDescent="0.25">
      <c r="F45">
        <v>0.90379976592528133</v>
      </c>
      <c r="G45">
        <v>43</v>
      </c>
      <c r="H45">
        <v>4</v>
      </c>
      <c r="I45">
        <f t="shared" si="6"/>
        <v>178</v>
      </c>
      <c r="J45">
        <f t="shared" si="8"/>
        <v>5</v>
      </c>
      <c r="K45">
        <f t="shared" si="4"/>
        <v>178</v>
      </c>
      <c r="L45">
        <f t="shared" si="7"/>
        <v>0</v>
      </c>
      <c r="M45">
        <f t="shared" si="1"/>
        <v>183</v>
      </c>
      <c r="N45">
        <f t="shared" si="2"/>
        <v>5</v>
      </c>
      <c r="O45">
        <f t="shared" si="5"/>
        <v>2</v>
      </c>
    </row>
    <row r="46" spans="6:15" x14ac:dyDescent="0.25">
      <c r="F46">
        <v>0.73499948591244313</v>
      </c>
      <c r="G46">
        <v>44</v>
      </c>
      <c r="H46">
        <v>6</v>
      </c>
      <c r="I46">
        <f t="shared" si="6"/>
        <v>184</v>
      </c>
      <c r="J46">
        <f t="shared" si="8"/>
        <v>4</v>
      </c>
      <c r="K46">
        <f t="shared" si="4"/>
        <v>184</v>
      </c>
      <c r="L46">
        <f t="shared" si="7"/>
        <v>0</v>
      </c>
      <c r="M46">
        <f t="shared" si="1"/>
        <v>188</v>
      </c>
      <c r="N46">
        <f t="shared" si="2"/>
        <v>4</v>
      </c>
      <c r="O46">
        <f t="shared" si="5"/>
        <v>1</v>
      </c>
    </row>
    <row r="47" spans="6:15" x14ac:dyDescent="0.25">
      <c r="F47">
        <v>1.3033567480781882E-2</v>
      </c>
      <c r="G47">
        <v>45</v>
      </c>
      <c r="H47">
        <v>2</v>
      </c>
      <c r="I47">
        <f t="shared" si="6"/>
        <v>186</v>
      </c>
      <c r="J47">
        <f t="shared" si="8"/>
        <v>1</v>
      </c>
      <c r="K47">
        <f t="shared" si="4"/>
        <v>188</v>
      </c>
      <c r="L47">
        <f t="shared" si="7"/>
        <v>2</v>
      </c>
      <c r="M47">
        <f t="shared" si="1"/>
        <v>189</v>
      </c>
      <c r="N47">
        <f t="shared" si="2"/>
        <v>3</v>
      </c>
      <c r="O47">
        <f t="shared" si="5"/>
        <v>0</v>
      </c>
    </row>
    <row r="48" spans="6:15" x14ac:dyDescent="0.25">
      <c r="F48">
        <v>0.67085390718083426</v>
      </c>
      <c r="G48">
        <v>46</v>
      </c>
      <c r="H48">
        <v>8</v>
      </c>
      <c r="I48">
        <f t="shared" si="6"/>
        <v>194</v>
      </c>
      <c r="J48">
        <f t="shared" si="8"/>
        <v>4</v>
      </c>
      <c r="K48">
        <f t="shared" si="4"/>
        <v>194</v>
      </c>
      <c r="L48">
        <f t="shared" si="7"/>
        <v>0</v>
      </c>
      <c r="M48">
        <f t="shared" si="1"/>
        <v>198</v>
      </c>
      <c r="N48">
        <f t="shared" si="2"/>
        <v>4</v>
      </c>
      <c r="O48">
        <f t="shared" si="5"/>
        <v>5</v>
      </c>
    </row>
    <row r="49" spans="6:15" x14ac:dyDescent="0.25">
      <c r="F49">
        <v>0.96001674691824512</v>
      </c>
      <c r="G49">
        <v>47</v>
      </c>
      <c r="H49">
        <v>8</v>
      </c>
      <c r="I49">
        <f t="shared" si="6"/>
        <v>202</v>
      </c>
      <c r="J49">
        <f t="shared" si="8"/>
        <v>6</v>
      </c>
      <c r="K49">
        <f t="shared" si="4"/>
        <v>202</v>
      </c>
      <c r="L49">
        <f t="shared" si="7"/>
        <v>0</v>
      </c>
      <c r="M49">
        <f t="shared" si="1"/>
        <v>208</v>
      </c>
      <c r="N49">
        <f t="shared" si="2"/>
        <v>6</v>
      </c>
      <c r="O49">
        <f t="shared" si="5"/>
        <v>4</v>
      </c>
    </row>
    <row r="50" spans="6:15" x14ac:dyDescent="0.25">
      <c r="F50">
        <v>0.58179886636509337</v>
      </c>
      <c r="G50">
        <v>48</v>
      </c>
      <c r="H50">
        <v>7</v>
      </c>
      <c r="I50">
        <f t="shared" si="6"/>
        <v>209</v>
      </c>
      <c r="J50">
        <f t="shared" si="8"/>
        <v>3</v>
      </c>
      <c r="K50">
        <f t="shared" si="4"/>
        <v>209</v>
      </c>
      <c r="L50">
        <f t="shared" si="7"/>
        <v>0</v>
      </c>
      <c r="M50">
        <f t="shared" si="1"/>
        <v>212</v>
      </c>
      <c r="N50">
        <f t="shared" si="2"/>
        <v>3</v>
      </c>
      <c r="O50">
        <f t="shared" si="5"/>
        <v>1</v>
      </c>
    </row>
    <row r="51" spans="6:15" x14ac:dyDescent="0.25">
      <c r="F51">
        <v>9.038544949194538E-3</v>
      </c>
      <c r="G51">
        <v>49</v>
      </c>
      <c r="H51">
        <v>7</v>
      </c>
      <c r="I51">
        <f t="shared" si="6"/>
        <v>216</v>
      </c>
      <c r="J51">
        <f t="shared" si="8"/>
        <v>1</v>
      </c>
      <c r="K51">
        <f t="shared" si="4"/>
        <v>216</v>
      </c>
      <c r="L51">
        <f t="shared" si="7"/>
        <v>0</v>
      </c>
      <c r="M51">
        <f t="shared" si="1"/>
        <v>217</v>
      </c>
      <c r="N51">
        <f t="shared" si="2"/>
        <v>1</v>
      </c>
      <c r="O51">
        <f t="shared" si="5"/>
        <v>4</v>
      </c>
    </row>
    <row r="52" spans="6:15" x14ac:dyDescent="0.25">
      <c r="F52">
        <v>3.4969670427980715E-2</v>
      </c>
      <c r="G52">
        <v>50</v>
      </c>
      <c r="H52">
        <v>6</v>
      </c>
      <c r="I52">
        <f t="shared" si="6"/>
        <v>222</v>
      </c>
      <c r="J52">
        <f t="shared" si="8"/>
        <v>1</v>
      </c>
      <c r="K52">
        <f t="shared" si="4"/>
        <v>222</v>
      </c>
      <c r="L52">
        <f t="shared" si="7"/>
        <v>0</v>
      </c>
      <c r="M52">
        <f t="shared" si="1"/>
        <v>223</v>
      </c>
      <c r="N52">
        <f t="shared" si="2"/>
        <v>1</v>
      </c>
      <c r="O52">
        <f t="shared" si="5"/>
        <v>5</v>
      </c>
    </row>
    <row r="53" spans="6:15" x14ac:dyDescent="0.25">
      <c r="F53">
        <v>0.50131918493776795</v>
      </c>
      <c r="G53">
        <v>51</v>
      </c>
      <c r="H53">
        <v>1</v>
      </c>
      <c r="I53">
        <f t="shared" si="6"/>
        <v>223</v>
      </c>
      <c r="J53">
        <f t="shared" si="8"/>
        <v>3</v>
      </c>
      <c r="K53">
        <f t="shared" si="4"/>
        <v>223</v>
      </c>
      <c r="L53">
        <f t="shared" si="7"/>
        <v>0</v>
      </c>
      <c r="M53">
        <f t="shared" si="1"/>
        <v>226</v>
      </c>
      <c r="N53">
        <f t="shared" si="2"/>
        <v>3</v>
      </c>
      <c r="O53">
        <f t="shared" si="5"/>
        <v>0</v>
      </c>
    </row>
    <row r="54" spans="6:15" x14ac:dyDescent="0.25">
      <c r="F54">
        <v>0.34128981422010762</v>
      </c>
      <c r="G54">
        <v>52</v>
      </c>
      <c r="H54">
        <v>2</v>
      </c>
      <c r="I54">
        <f t="shared" si="6"/>
        <v>225</v>
      </c>
      <c r="J54">
        <f t="shared" si="8"/>
        <v>3</v>
      </c>
      <c r="K54">
        <f t="shared" si="4"/>
        <v>226</v>
      </c>
      <c r="L54">
        <f t="shared" si="7"/>
        <v>1</v>
      </c>
      <c r="M54">
        <f t="shared" si="1"/>
        <v>229</v>
      </c>
      <c r="N54">
        <f t="shared" si="2"/>
        <v>4</v>
      </c>
      <c r="O54">
        <f t="shared" si="5"/>
        <v>0</v>
      </c>
    </row>
    <row r="55" spans="6:15" x14ac:dyDescent="0.25">
      <c r="F55">
        <v>0.48041812613432611</v>
      </c>
      <c r="G55">
        <v>53</v>
      </c>
      <c r="H55">
        <v>8</v>
      </c>
      <c r="I55">
        <f t="shared" si="6"/>
        <v>233</v>
      </c>
      <c r="J55">
        <f t="shared" si="8"/>
        <v>3</v>
      </c>
      <c r="K55">
        <f t="shared" si="4"/>
        <v>233</v>
      </c>
      <c r="L55">
        <f t="shared" si="7"/>
        <v>0</v>
      </c>
      <c r="M55">
        <f t="shared" si="1"/>
        <v>236</v>
      </c>
      <c r="N55">
        <f t="shared" si="2"/>
        <v>3</v>
      </c>
      <c r="O55">
        <f t="shared" si="5"/>
        <v>4</v>
      </c>
    </row>
    <row r="56" spans="6:15" x14ac:dyDescent="0.25">
      <c r="F56">
        <v>0.96658588019814362</v>
      </c>
      <c r="G56">
        <v>54</v>
      </c>
      <c r="H56">
        <v>5</v>
      </c>
      <c r="I56">
        <f t="shared" si="6"/>
        <v>238</v>
      </c>
      <c r="J56">
        <f t="shared" si="8"/>
        <v>6</v>
      </c>
      <c r="K56">
        <f t="shared" si="4"/>
        <v>238</v>
      </c>
      <c r="L56">
        <f t="shared" si="7"/>
        <v>0</v>
      </c>
      <c r="M56">
        <f t="shared" si="1"/>
        <v>244</v>
      </c>
      <c r="N56">
        <f t="shared" si="2"/>
        <v>6</v>
      </c>
      <c r="O56">
        <f t="shared" si="5"/>
        <v>2</v>
      </c>
    </row>
    <row r="57" spans="6:15" x14ac:dyDescent="0.25">
      <c r="F57">
        <v>0.84232183579093756</v>
      </c>
      <c r="G57">
        <v>55</v>
      </c>
      <c r="H57">
        <v>0</v>
      </c>
      <c r="I57">
        <f t="shared" si="6"/>
        <v>238</v>
      </c>
      <c r="J57">
        <f t="shared" si="8"/>
        <v>4</v>
      </c>
      <c r="K57">
        <f t="shared" si="4"/>
        <v>244</v>
      </c>
      <c r="L57">
        <f t="shared" si="7"/>
        <v>6</v>
      </c>
      <c r="M57">
        <f t="shared" si="1"/>
        <v>248</v>
      </c>
      <c r="N57">
        <f t="shared" si="2"/>
        <v>10</v>
      </c>
      <c r="O57">
        <f t="shared" si="5"/>
        <v>0</v>
      </c>
    </row>
    <row r="58" spans="6:15" x14ac:dyDescent="0.25">
      <c r="F58">
        <v>0.77095540966731124</v>
      </c>
      <c r="G58">
        <v>56</v>
      </c>
      <c r="H58">
        <v>5</v>
      </c>
      <c r="I58">
        <f t="shared" si="6"/>
        <v>243</v>
      </c>
      <c r="J58">
        <f t="shared" si="8"/>
        <v>4</v>
      </c>
      <c r="K58">
        <f t="shared" si="4"/>
        <v>248</v>
      </c>
      <c r="L58">
        <f t="shared" si="7"/>
        <v>5</v>
      </c>
      <c r="M58">
        <f t="shared" si="1"/>
        <v>252</v>
      </c>
      <c r="N58">
        <f t="shared" si="2"/>
        <v>9</v>
      </c>
      <c r="O58">
        <f t="shared" si="5"/>
        <v>0</v>
      </c>
    </row>
    <row r="59" spans="6:15" x14ac:dyDescent="0.25">
      <c r="F59">
        <v>0.24890164971037343</v>
      </c>
      <c r="G59">
        <v>57</v>
      </c>
      <c r="H59">
        <v>0</v>
      </c>
      <c r="I59">
        <f t="shared" si="6"/>
        <v>243</v>
      </c>
      <c r="J59">
        <f t="shared" si="8"/>
        <v>2</v>
      </c>
      <c r="K59">
        <f t="shared" si="4"/>
        <v>252</v>
      </c>
      <c r="L59">
        <f t="shared" si="7"/>
        <v>9</v>
      </c>
      <c r="M59">
        <f t="shared" si="1"/>
        <v>254</v>
      </c>
      <c r="N59">
        <f t="shared" si="2"/>
        <v>11</v>
      </c>
      <c r="O59">
        <f t="shared" si="5"/>
        <v>0</v>
      </c>
    </row>
    <row r="60" spans="6:15" x14ac:dyDescent="0.25">
      <c r="F60">
        <v>0.8355470485493548</v>
      </c>
      <c r="G60">
        <v>58</v>
      </c>
      <c r="H60">
        <v>5</v>
      </c>
      <c r="I60">
        <f t="shared" si="6"/>
        <v>248</v>
      </c>
      <c r="J60">
        <f t="shared" si="8"/>
        <v>4</v>
      </c>
      <c r="K60">
        <f t="shared" si="4"/>
        <v>254</v>
      </c>
      <c r="L60">
        <f t="shared" si="7"/>
        <v>6</v>
      </c>
      <c r="M60">
        <f t="shared" si="1"/>
        <v>258</v>
      </c>
      <c r="N60">
        <f t="shared" si="2"/>
        <v>10</v>
      </c>
      <c r="O60">
        <f t="shared" si="5"/>
        <v>0</v>
      </c>
    </row>
    <row r="61" spans="6:15" x14ac:dyDescent="0.25">
      <c r="F61">
        <v>0.95631962460596798</v>
      </c>
      <c r="G61">
        <v>59</v>
      </c>
      <c r="H61">
        <v>3</v>
      </c>
      <c r="I61">
        <f t="shared" si="6"/>
        <v>251</v>
      </c>
      <c r="J61">
        <f t="shared" si="8"/>
        <v>6</v>
      </c>
      <c r="K61">
        <f t="shared" si="4"/>
        <v>258</v>
      </c>
      <c r="L61">
        <f t="shared" si="7"/>
        <v>7</v>
      </c>
      <c r="M61">
        <f t="shared" si="1"/>
        <v>264</v>
      </c>
      <c r="N61">
        <f t="shared" si="2"/>
        <v>13</v>
      </c>
      <c r="O61">
        <f t="shared" si="5"/>
        <v>0</v>
      </c>
    </row>
    <row r="62" spans="6:15" x14ac:dyDescent="0.25">
      <c r="F62">
        <v>0.36612112725982726</v>
      </c>
      <c r="G62">
        <v>60</v>
      </c>
      <c r="H62">
        <v>1</v>
      </c>
      <c r="I62">
        <f t="shared" si="6"/>
        <v>252</v>
      </c>
      <c r="J62">
        <f t="shared" si="8"/>
        <v>3</v>
      </c>
      <c r="K62">
        <f t="shared" si="4"/>
        <v>264</v>
      </c>
      <c r="L62">
        <f t="shared" si="7"/>
        <v>12</v>
      </c>
      <c r="M62">
        <f t="shared" si="1"/>
        <v>267</v>
      </c>
      <c r="N62">
        <f t="shared" si="2"/>
        <v>15</v>
      </c>
      <c r="O62">
        <f t="shared" si="5"/>
        <v>0</v>
      </c>
    </row>
    <row r="63" spans="6:15" x14ac:dyDescent="0.25">
      <c r="F63">
        <v>0.43783866556099638</v>
      </c>
      <c r="G63">
        <v>61</v>
      </c>
      <c r="H63">
        <v>7</v>
      </c>
      <c r="I63">
        <f t="shared" si="6"/>
        <v>259</v>
      </c>
      <c r="J63">
        <f t="shared" si="8"/>
        <v>3</v>
      </c>
      <c r="K63">
        <f t="shared" si="4"/>
        <v>267</v>
      </c>
      <c r="L63">
        <f t="shared" si="7"/>
        <v>8</v>
      </c>
      <c r="M63">
        <f t="shared" si="1"/>
        <v>270</v>
      </c>
      <c r="N63">
        <f t="shared" si="2"/>
        <v>11</v>
      </c>
      <c r="O63">
        <f t="shared" si="5"/>
        <v>0</v>
      </c>
    </row>
    <row r="64" spans="6:15" x14ac:dyDescent="0.25">
      <c r="F64">
        <v>0.27728798743542615</v>
      </c>
      <c r="G64">
        <v>62</v>
      </c>
      <c r="H64">
        <v>7</v>
      </c>
      <c r="I64">
        <f t="shared" si="6"/>
        <v>266</v>
      </c>
      <c r="J64">
        <f t="shared" si="8"/>
        <v>2</v>
      </c>
      <c r="K64">
        <f t="shared" si="4"/>
        <v>270</v>
      </c>
      <c r="L64">
        <f t="shared" si="7"/>
        <v>4</v>
      </c>
      <c r="M64">
        <f t="shared" si="1"/>
        <v>272</v>
      </c>
      <c r="N64">
        <f t="shared" si="2"/>
        <v>6</v>
      </c>
      <c r="O64">
        <f t="shared" si="5"/>
        <v>0</v>
      </c>
    </row>
    <row r="65" spans="6:15" x14ac:dyDescent="0.25">
      <c r="F65">
        <v>8.9981777238861804E-2</v>
      </c>
      <c r="G65">
        <v>63</v>
      </c>
      <c r="H65">
        <v>7</v>
      </c>
      <c r="I65">
        <f t="shared" si="6"/>
        <v>273</v>
      </c>
      <c r="J65">
        <f t="shared" si="8"/>
        <v>1</v>
      </c>
      <c r="K65">
        <f t="shared" si="4"/>
        <v>273</v>
      </c>
      <c r="L65">
        <f t="shared" si="7"/>
        <v>0</v>
      </c>
      <c r="M65">
        <f t="shared" si="1"/>
        <v>274</v>
      </c>
      <c r="N65">
        <f t="shared" si="2"/>
        <v>1</v>
      </c>
      <c r="O65">
        <f t="shared" si="5"/>
        <v>1</v>
      </c>
    </row>
    <row r="66" spans="6:15" x14ac:dyDescent="0.25">
      <c r="F66">
        <v>0.76438846570041907</v>
      </c>
      <c r="G66">
        <v>64</v>
      </c>
      <c r="H66">
        <v>1</v>
      </c>
      <c r="I66">
        <f t="shared" si="6"/>
        <v>274</v>
      </c>
      <c r="J66">
        <f t="shared" si="8"/>
        <v>4</v>
      </c>
      <c r="K66">
        <f t="shared" si="4"/>
        <v>274</v>
      </c>
      <c r="L66">
        <f t="shared" si="7"/>
        <v>0</v>
      </c>
      <c r="M66">
        <f t="shared" si="1"/>
        <v>278</v>
      </c>
      <c r="N66">
        <f t="shared" si="2"/>
        <v>4</v>
      </c>
      <c r="O66">
        <f t="shared" si="5"/>
        <v>0</v>
      </c>
    </row>
    <row r="67" spans="6:15" x14ac:dyDescent="0.25">
      <c r="F67">
        <v>0.40043637387343134</v>
      </c>
      <c r="G67">
        <v>65</v>
      </c>
      <c r="H67">
        <v>3</v>
      </c>
      <c r="I67">
        <f t="shared" si="6"/>
        <v>277</v>
      </c>
      <c r="J67">
        <f t="shared" ref="J67:J102" si="9">ServiceTime(F67)</f>
        <v>3</v>
      </c>
      <c r="K67">
        <f t="shared" si="4"/>
        <v>278</v>
      </c>
      <c r="L67">
        <f t="shared" si="7"/>
        <v>1</v>
      </c>
      <c r="M67">
        <f t="shared" si="1"/>
        <v>281</v>
      </c>
      <c r="N67">
        <f t="shared" si="2"/>
        <v>4</v>
      </c>
      <c r="O67">
        <f t="shared" si="5"/>
        <v>0</v>
      </c>
    </row>
    <row r="68" spans="6:15" x14ac:dyDescent="0.25">
      <c r="F68">
        <v>0.8137286685722982</v>
      </c>
      <c r="G68">
        <v>66</v>
      </c>
      <c r="H68">
        <v>3</v>
      </c>
      <c r="I68">
        <f t="shared" si="6"/>
        <v>280</v>
      </c>
      <c r="J68">
        <f t="shared" si="9"/>
        <v>4</v>
      </c>
      <c r="K68">
        <f t="shared" si="4"/>
        <v>281</v>
      </c>
      <c r="L68">
        <f t="shared" ref="L68:L102" si="10">K68-I68</f>
        <v>1</v>
      </c>
      <c r="M68">
        <f t="shared" ref="M68:M102" si="11">K68+J68</f>
        <v>285</v>
      </c>
      <c r="N68">
        <f t="shared" ref="N68:N102" si="12">J68+L68</f>
        <v>5</v>
      </c>
      <c r="O68">
        <f t="shared" si="5"/>
        <v>0</v>
      </c>
    </row>
    <row r="69" spans="6:15" x14ac:dyDescent="0.25">
      <c r="F69">
        <v>0.71963540792547998</v>
      </c>
      <c r="G69">
        <v>67</v>
      </c>
      <c r="H69">
        <v>2</v>
      </c>
      <c r="I69">
        <f t="shared" ref="I69:I102" si="13">I68+H69</f>
        <v>282</v>
      </c>
      <c r="J69">
        <f t="shared" si="9"/>
        <v>4</v>
      </c>
      <c r="K69">
        <f t="shared" ref="K69:K102" si="14">MAX(K68+J68,I69)</f>
        <v>285</v>
      </c>
      <c r="L69">
        <f t="shared" si="10"/>
        <v>3</v>
      </c>
      <c r="M69">
        <f t="shared" si="11"/>
        <v>289</v>
      </c>
      <c r="N69">
        <f t="shared" si="12"/>
        <v>7</v>
      </c>
      <c r="O69">
        <f t="shared" ref="O69:O102" si="15">K69-M68</f>
        <v>0</v>
      </c>
    </row>
    <row r="70" spans="6:15" x14ac:dyDescent="0.25">
      <c r="F70">
        <v>0.11099967023467228</v>
      </c>
      <c r="G70">
        <v>68</v>
      </c>
      <c r="H70">
        <v>3</v>
      </c>
      <c r="I70">
        <f t="shared" si="13"/>
        <v>285</v>
      </c>
      <c r="J70">
        <f t="shared" si="9"/>
        <v>2</v>
      </c>
      <c r="K70">
        <f t="shared" si="14"/>
        <v>289</v>
      </c>
      <c r="L70">
        <f t="shared" si="10"/>
        <v>4</v>
      </c>
      <c r="M70">
        <f t="shared" si="11"/>
        <v>291</v>
      </c>
      <c r="N70">
        <f t="shared" si="12"/>
        <v>6</v>
      </c>
      <c r="O70">
        <f t="shared" si="15"/>
        <v>0</v>
      </c>
    </row>
    <row r="71" spans="6:15" x14ac:dyDescent="0.25">
      <c r="F71">
        <v>0.79806671766893544</v>
      </c>
      <c r="G71">
        <v>69</v>
      </c>
      <c r="H71">
        <v>6</v>
      </c>
      <c r="I71">
        <f t="shared" si="13"/>
        <v>291</v>
      </c>
      <c r="J71">
        <f t="shared" si="9"/>
        <v>4</v>
      </c>
      <c r="K71">
        <f t="shared" si="14"/>
        <v>291</v>
      </c>
      <c r="L71">
        <f t="shared" si="10"/>
        <v>0</v>
      </c>
      <c r="M71">
        <f t="shared" si="11"/>
        <v>295</v>
      </c>
      <c r="N71">
        <f t="shared" si="12"/>
        <v>4</v>
      </c>
      <c r="O71">
        <f t="shared" si="15"/>
        <v>0</v>
      </c>
    </row>
    <row r="72" spans="6:15" x14ac:dyDescent="0.25">
      <c r="F72">
        <v>0.33471297206107498</v>
      </c>
      <c r="G72">
        <v>70</v>
      </c>
      <c r="H72">
        <v>6</v>
      </c>
      <c r="I72">
        <f t="shared" si="13"/>
        <v>297</v>
      </c>
      <c r="J72">
        <f t="shared" si="9"/>
        <v>3</v>
      </c>
      <c r="K72">
        <f t="shared" si="14"/>
        <v>297</v>
      </c>
      <c r="L72">
        <f t="shared" si="10"/>
        <v>0</v>
      </c>
      <c r="M72">
        <f t="shared" si="11"/>
        <v>300</v>
      </c>
      <c r="N72">
        <f t="shared" si="12"/>
        <v>3</v>
      </c>
      <c r="O72">
        <f t="shared" si="15"/>
        <v>2</v>
      </c>
    </row>
    <row r="73" spans="6:15" x14ac:dyDescent="0.25">
      <c r="F73">
        <v>0.8245720055855561</v>
      </c>
      <c r="G73">
        <v>71</v>
      </c>
      <c r="H73">
        <v>6</v>
      </c>
      <c r="I73">
        <f t="shared" si="13"/>
        <v>303</v>
      </c>
      <c r="J73">
        <f t="shared" si="9"/>
        <v>4</v>
      </c>
      <c r="K73">
        <f t="shared" si="14"/>
        <v>303</v>
      </c>
      <c r="L73">
        <f t="shared" si="10"/>
        <v>0</v>
      </c>
      <c r="M73">
        <f t="shared" si="11"/>
        <v>307</v>
      </c>
      <c r="N73">
        <f t="shared" si="12"/>
        <v>4</v>
      </c>
      <c r="O73">
        <f t="shared" si="15"/>
        <v>3</v>
      </c>
    </row>
    <row r="74" spans="6:15" x14ac:dyDescent="0.25">
      <c r="F74">
        <v>0.34483690226576369</v>
      </c>
      <c r="G74">
        <v>72</v>
      </c>
      <c r="H74">
        <v>4</v>
      </c>
      <c r="I74">
        <f t="shared" si="13"/>
        <v>307</v>
      </c>
      <c r="J74">
        <f t="shared" si="9"/>
        <v>3</v>
      </c>
      <c r="K74">
        <f t="shared" si="14"/>
        <v>307</v>
      </c>
      <c r="L74">
        <f t="shared" si="10"/>
        <v>0</v>
      </c>
      <c r="M74">
        <f t="shared" si="11"/>
        <v>310</v>
      </c>
      <c r="N74">
        <f t="shared" si="12"/>
        <v>3</v>
      </c>
      <c r="O74">
        <f t="shared" si="15"/>
        <v>0</v>
      </c>
    </row>
    <row r="75" spans="6:15" x14ac:dyDescent="0.25">
      <c r="F75">
        <v>1.6131077950840012E-2</v>
      </c>
      <c r="G75">
        <v>73</v>
      </c>
      <c r="H75">
        <v>0</v>
      </c>
      <c r="I75">
        <f t="shared" si="13"/>
        <v>307</v>
      </c>
      <c r="J75">
        <f t="shared" si="9"/>
        <v>1</v>
      </c>
      <c r="K75">
        <f t="shared" si="14"/>
        <v>310</v>
      </c>
      <c r="L75">
        <f t="shared" si="10"/>
        <v>3</v>
      </c>
      <c r="M75">
        <f t="shared" si="11"/>
        <v>311</v>
      </c>
      <c r="N75">
        <f t="shared" si="12"/>
        <v>4</v>
      </c>
      <c r="O75">
        <f t="shared" si="15"/>
        <v>0</v>
      </c>
    </row>
    <row r="76" spans="6:15" x14ac:dyDescent="0.25">
      <c r="F76">
        <v>0.28644584365986725</v>
      </c>
      <c r="G76">
        <v>74</v>
      </c>
      <c r="H76">
        <v>3</v>
      </c>
      <c r="I76">
        <f t="shared" si="13"/>
        <v>310</v>
      </c>
      <c r="J76">
        <f t="shared" si="9"/>
        <v>2</v>
      </c>
      <c r="K76">
        <f t="shared" si="14"/>
        <v>311</v>
      </c>
      <c r="L76">
        <f t="shared" si="10"/>
        <v>1</v>
      </c>
      <c r="M76">
        <f t="shared" si="11"/>
        <v>313</v>
      </c>
      <c r="N76">
        <f t="shared" si="12"/>
        <v>3</v>
      </c>
      <c r="O76">
        <f t="shared" si="15"/>
        <v>0</v>
      </c>
    </row>
    <row r="77" spans="6:15" x14ac:dyDescent="0.25">
      <c r="F77">
        <v>0.24152053508970972</v>
      </c>
      <c r="G77">
        <v>75</v>
      </c>
      <c r="H77">
        <v>7</v>
      </c>
      <c r="I77">
        <f t="shared" si="13"/>
        <v>317</v>
      </c>
      <c r="J77">
        <f t="shared" si="9"/>
        <v>2</v>
      </c>
      <c r="K77">
        <f t="shared" si="14"/>
        <v>317</v>
      </c>
      <c r="L77">
        <f t="shared" si="10"/>
        <v>0</v>
      </c>
      <c r="M77">
        <f t="shared" si="11"/>
        <v>319</v>
      </c>
      <c r="N77">
        <f t="shared" si="12"/>
        <v>2</v>
      </c>
      <c r="O77">
        <f t="shared" si="15"/>
        <v>4</v>
      </c>
    </row>
    <row r="78" spans="6:15" x14ac:dyDescent="0.25">
      <c r="F78">
        <v>0.75168858978061281</v>
      </c>
      <c r="G78">
        <v>76</v>
      </c>
      <c r="H78">
        <v>3</v>
      </c>
      <c r="I78">
        <f t="shared" si="13"/>
        <v>320</v>
      </c>
      <c r="J78">
        <f t="shared" si="9"/>
        <v>4</v>
      </c>
      <c r="K78">
        <f t="shared" si="14"/>
        <v>320</v>
      </c>
      <c r="L78">
        <f t="shared" si="10"/>
        <v>0</v>
      </c>
      <c r="M78">
        <f t="shared" si="11"/>
        <v>324</v>
      </c>
      <c r="N78">
        <f t="shared" si="12"/>
        <v>4</v>
      </c>
      <c r="O78">
        <f t="shared" si="15"/>
        <v>1</v>
      </c>
    </row>
    <row r="79" spans="6:15" x14ac:dyDescent="0.25">
      <c r="F79">
        <v>0.56042739520725193</v>
      </c>
      <c r="G79">
        <v>77</v>
      </c>
      <c r="H79">
        <v>1</v>
      </c>
      <c r="I79">
        <f t="shared" si="13"/>
        <v>321</v>
      </c>
      <c r="J79">
        <f t="shared" si="9"/>
        <v>3</v>
      </c>
      <c r="K79">
        <f t="shared" si="14"/>
        <v>324</v>
      </c>
      <c r="L79">
        <f t="shared" si="10"/>
        <v>3</v>
      </c>
      <c r="M79">
        <f t="shared" si="11"/>
        <v>327</v>
      </c>
      <c r="N79">
        <f t="shared" si="12"/>
        <v>6</v>
      </c>
      <c r="O79">
        <f t="shared" si="15"/>
        <v>0</v>
      </c>
    </row>
    <row r="80" spans="6:15" x14ac:dyDescent="0.25">
      <c r="F80">
        <v>0.40641850032764526</v>
      </c>
      <c r="G80">
        <v>78</v>
      </c>
      <c r="H80">
        <v>7</v>
      </c>
      <c r="I80">
        <f t="shared" si="13"/>
        <v>328</v>
      </c>
      <c r="J80">
        <f t="shared" si="9"/>
        <v>3</v>
      </c>
      <c r="K80">
        <f t="shared" si="14"/>
        <v>328</v>
      </c>
      <c r="L80">
        <f t="shared" si="10"/>
        <v>0</v>
      </c>
      <c r="M80">
        <f t="shared" si="11"/>
        <v>331</v>
      </c>
      <c r="N80">
        <f t="shared" si="12"/>
        <v>3</v>
      </c>
      <c r="O80">
        <f t="shared" si="15"/>
        <v>1</v>
      </c>
    </row>
    <row r="81" spans="6:15" x14ac:dyDescent="0.25">
      <c r="F81">
        <v>0.68069396768307711</v>
      </c>
      <c r="G81">
        <v>79</v>
      </c>
      <c r="H81">
        <v>6</v>
      </c>
      <c r="I81">
        <f t="shared" si="13"/>
        <v>334</v>
      </c>
      <c r="J81">
        <f t="shared" si="9"/>
        <v>4</v>
      </c>
      <c r="K81">
        <f t="shared" si="14"/>
        <v>334</v>
      </c>
      <c r="L81">
        <f t="shared" si="10"/>
        <v>0</v>
      </c>
      <c r="M81">
        <f t="shared" si="11"/>
        <v>338</v>
      </c>
      <c r="N81">
        <f t="shared" si="12"/>
        <v>4</v>
      </c>
      <c r="O81">
        <f t="shared" si="15"/>
        <v>3</v>
      </c>
    </row>
    <row r="82" spans="6:15" x14ac:dyDescent="0.25">
      <c r="F82">
        <v>0.8559416988178874</v>
      </c>
      <c r="G82">
        <v>80</v>
      </c>
      <c r="H82">
        <v>2</v>
      </c>
      <c r="I82">
        <f t="shared" si="13"/>
        <v>336</v>
      </c>
      <c r="J82">
        <f t="shared" si="9"/>
        <v>5</v>
      </c>
      <c r="K82">
        <f t="shared" si="14"/>
        <v>338</v>
      </c>
      <c r="L82">
        <f t="shared" si="10"/>
        <v>2</v>
      </c>
      <c r="M82">
        <f t="shared" si="11"/>
        <v>343</v>
      </c>
      <c r="N82">
        <f t="shared" si="12"/>
        <v>7</v>
      </c>
      <c r="O82">
        <f t="shared" si="15"/>
        <v>0</v>
      </c>
    </row>
    <row r="83" spans="6:15" x14ac:dyDescent="0.25">
      <c r="F83">
        <v>0.30097291681097937</v>
      </c>
      <c r="G83">
        <v>81</v>
      </c>
      <c r="H83">
        <v>8</v>
      </c>
      <c r="I83">
        <f t="shared" si="13"/>
        <v>344</v>
      </c>
      <c r="J83">
        <f t="shared" si="9"/>
        <v>3</v>
      </c>
      <c r="K83">
        <f t="shared" si="14"/>
        <v>344</v>
      </c>
      <c r="L83">
        <f t="shared" si="10"/>
        <v>0</v>
      </c>
      <c r="M83">
        <f t="shared" si="11"/>
        <v>347</v>
      </c>
      <c r="N83">
        <f t="shared" si="12"/>
        <v>3</v>
      </c>
      <c r="O83">
        <f t="shared" si="15"/>
        <v>1</v>
      </c>
    </row>
    <row r="84" spans="6:15" x14ac:dyDescent="0.25">
      <c r="F84">
        <v>0.16869608225223087</v>
      </c>
      <c r="G84">
        <v>82</v>
      </c>
      <c r="H84">
        <v>6</v>
      </c>
      <c r="I84">
        <f t="shared" si="13"/>
        <v>350</v>
      </c>
      <c r="J84">
        <f t="shared" si="9"/>
        <v>2</v>
      </c>
      <c r="K84">
        <f t="shared" si="14"/>
        <v>350</v>
      </c>
      <c r="L84">
        <f t="shared" si="10"/>
        <v>0</v>
      </c>
      <c r="M84">
        <f t="shared" si="11"/>
        <v>352</v>
      </c>
      <c r="N84">
        <f t="shared" si="12"/>
        <v>2</v>
      </c>
      <c r="O84">
        <f t="shared" si="15"/>
        <v>3</v>
      </c>
    </row>
    <row r="85" spans="6:15" x14ac:dyDescent="0.25">
      <c r="F85">
        <v>2.5518973704143133E-2</v>
      </c>
      <c r="G85">
        <v>83</v>
      </c>
      <c r="H85">
        <v>4</v>
      </c>
      <c r="I85">
        <f t="shared" si="13"/>
        <v>354</v>
      </c>
      <c r="J85">
        <f t="shared" si="9"/>
        <v>1</v>
      </c>
      <c r="K85">
        <f t="shared" si="14"/>
        <v>354</v>
      </c>
      <c r="L85">
        <f t="shared" si="10"/>
        <v>0</v>
      </c>
      <c r="M85">
        <f t="shared" si="11"/>
        <v>355</v>
      </c>
      <c r="N85">
        <f t="shared" si="12"/>
        <v>1</v>
      </c>
      <c r="O85">
        <f t="shared" si="15"/>
        <v>2</v>
      </c>
    </row>
    <row r="86" spans="6:15" x14ac:dyDescent="0.25">
      <c r="F86">
        <v>0.60908258623144007</v>
      </c>
      <c r="G86">
        <v>84</v>
      </c>
      <c r="H86">
        <v>3</v>
      </c>
      <c r="I86">
        <f t="shared" si="13"/>
        <v>357</v>
      </c>
      <c r="J86">
        <f t="shared" si="9"/>
        <v>4</v>
      </c>
      <c r="K86">
        <f t="shared" si="14"/>
        <v>357</v>
      </c>
      <c r="L86">
        <f t="shared" si="10"/>
        <v>0</v>
      </c>
      <c r="M86">
        <f t="shared" si="11"/>
        <v>361</v>
      </c>
      <c r="N86">
        <f t="shared" si="12"/>
        <v>4</v>
      </c>
      <c r="O86">
        <f t="shared" si="15"/>
        <v>2</v>
      </c>
    </row>
    <row r="87" spans="6:15" x14ac:dyDescent="0.25">
      <c r="F87">
        <v>0.44083431276279872</v>
      </c>
      <c r="G87">
        <v>85</v>
      </c>
      <c r="H87">
        <v>3</v>
      </c>
      <c r="I87">
        <f t="shared" si="13"/>
        <v>360</v>
      </c>
      <c r="J87">
        <f t="shared" si="9"/>
        <v>3</v>
      </c>
      <c r="K87">
        <f t="shared" si="14"/>
        <v>361</v>
      </c>
      <c r="L87">
        <f t="shared" si="10"/>
        <v>1</v>
      </c>
      <c r="M87">
        <f t="shared" si="11"/>
        <v>364</v>
      </c>
      <c r="N87">
        <f t="shared" si="12"/>
        <v>4</v>
      </c>
      <c r="O87">
        <f t="shared" si="15"/>
        <v>0</v>
      </c>
    </row>
    <row r="88" spans="6:15" x14ac:dyDescent="0.25">
      <c r="F88">
        <v>0.97692997694174744</v>
      </c>
      <c r="G88">
        <v>86</v>
      </c>
      <c r="H88">
        <v>6</v>
      </c>
      <c r="I88">
        <f t="shared" si="13"/>
        <v>366</v>
      </c>
      <c r="J88">
        <f t="shared" si="9"/>
        <v>6</v>
      </c>
      <c r="K88">
        <f t="shared" si="14"/>
        <v>366</v>
      </c>
      <c r="L88">
        <f t="shared" si="10"/>
        <v>0</v>
      </c>
      <c r="M88">
        <f t="shared" si="11"/>
        <v>372</v>
      </c>
      <c r="N88">
        <f t="shared" si="12"/>
        <v>6</v>
      </c>
      <c r="O88">
        <f t="shared" si="15"/>
        <v>2</v>
      </c>
    </row>
    <row r="89" spans="6:15" x14ac:dyDescent="0.25">
      <c r="F89">
        <v>0.59556875999235726</v>
      </c>
      <c r="G89">
        <v>87</v>
      </c>
      <c r="H89">
        <v>2</v>
      </c>
      <c r="I89">
        <f t="shared" si="13"/>
        <v>368</v>
      </c>
      <c r="J89">
        <f t="shared" si="9"/>
        <v>3</v>
      </c>
      <c r="K89">
        <f t="shared" si="14"/>
        <v>372</v>
      </c>
      <c r="L89">
        <f t="shared" si="10"/>
        <v>4</v>
      </c>
      <c r="M89">
        <f t="shared" si="11"/>
        <v>375</v>
      </c>
      <c r="N89">
        <f t="shared" si="12"/>
        <v>7</v>
      </c>
      <c r="O89">
        <f t="shared" si="15"/>
        <v>0</v>
      </c>
    </row>
    <row r="90" spans="6:15" x14ac:dyDescent="0.25">
      <c r="F90">
        <v>0.86200732926334223</v>
      </c>
      <c r="G90">
        <v>88</v>
      </c>
      <c r="H90">
        <v>8</v>
      </c>
      <c r="I90">
        <f t="shared" si="13"/>
        <v>376</v>
      </c>
      <c r="J90">
        <f t="shared" si="9"/>
        <v>5</v>
      </c>
      <c r="K90">
        <f t="shared" si="14"/>
        <v>376</v>
      </c>
      <c r="L90">
        <f t="shared" si="10"/>
        <v>0</v>
      </c>
      <c r="M90">
        <f t="shared" si="11"/>
        <v>381</v>
      </c>
      <c r="N90">
        <f t="shared" si="12"/>
        <v>5</v>
      </c>
      <c r="O90">
        <f t="shared" si="15"/>
        <v>1</v>
      </c>
    </row>
    <row r="91" spans="6:15" x14ac:dyDescent="0.25">
      <c r="F91">
        <v>0.39593294754049557</v>
      </c>
      <c r="G91">
        <v>89</v>
      </c>
      <c r="H91">
        <v>1</v>
      </c>
      <c r="I91">
        <f t="shared" si="13"/>
        <v>377</v>
      </c>
      <c r="J91">
        <f t="shared" si="9"/>
        <v>3</v>
      </c>
      <c r="K91">
        <f t="shared" si="14"/>
        <v>381</v>
      </c>
      <c r="L91">
        <f t="shared" si="10"/>
        <v>4</v>
      </c>
      <c r="M91">
        <f t="shared" si="11"/>
        <v>384</v>
      </c>
      <c r="N91">
        <f t="shared" si="12"/>
        <v>7</v>
      </c>
      <c r="O91">
        <f t="shared" si="15"/>
        <v>0</v>
      </c>
    </row>
    <row r="92" spans="6:15" x14ac:dyDescent="0.25">
      <c r="F92">
        <v>0.46843285487743858</v>
      </c>
      <c r="G92">
        <v>90</v>
      </c>
      <c r="H92">
        <v>0</v>
      </c>
      <c r="I92">
        <f t="shared" si="13"/>
        <v>377</v>
      </c>
      <c r="J92">
        <f t="shared" si="9"/>
        <v>3</v>
      </c>
      <c r="K92">
        <f t="shared" si="14"/>
        <v>384</v>
      </c>
      <c r="L92">
        <f t="shared" si="10"/>
        <v>7</v>
      </c>
      <c r="M92">
        <f t="shared" si="11"/>
        <v>387</v>
      </c>
      <c r="N92">
        <f t="shared" si="12"/>
        <v>10</v>
      </c>
      <c r="O92">
        <f t="shared" si="15"/>
        <v>0</v>
      </c>
    </row>
    <row r="93" spans="6:15" x14ac:dyDescent="0.25">
      <c r="F93">
        <v>0.78658243482714707</v>
      </c>
      <c r="G93">
        <v>91</v>
      </c>
      <c r="H93">
        <v>5</v>
      </c>
      <c r="I93">
        <f t="shared" si="13"/>
        <v>382</v>
      </c>
      <c r="J93">
        <f t="shared" si="9"/>
        <v>4</v>
      </c>
      <c r="K93">
        <f t="shared" si="14"/>
        <v>387</v>
      </c>
      <c r="L93">
        <f t="shared" si="10"/>
        <v>5</v>
      </c>
      <c r="M93">
        <f t="shared" si="11"/>
        <v>391</v>
      </c>
      <c r="N93">
        <f t="shared" si="12"/>
        <v>9</v>
      </c>
      <c r="O93">
        <f t="shared" si="15"/>
        <v>0</v>
      </c>
    </row>
    <row r="94" spans="6:15" x14ac:dyDescent="0.25">
      <c r="F94">
        <v>6.8488133757190983E-2</v>
      </c>
      <c r="G94">
        <v>92</v>
      </c>
      <c r="H94">
        <v>8</v>
      </c>
      <c r="I94">
        <f t="shared" si="13"/>
        <v>390</v>
      </c>
      <c r="J94">
        <f t="shared" si="9"/>
        <v>1</v>
      </c>
      <c r="K94">
        <f t="shared" si="14"/>
        <v>391</v>
      </c>
      <c r="L94">
        <f t="shared" si="10"/>
        <v>1</v>
      </c>
      <c r="M94">
        <f t="shared" si="11"/>
        <v>392</v>
      </c>
      <c r="N94">
        <f t="shared" si="12"/>
        <v>2</v>
      </c>
      <c r="O94">
        <f t="shared" si="15"/>
        <v>0</v>
      </c>
    </row>
    <row r="95" spans="6:15" x14ac:dyDescent="0.25">
      <c r="F95">
        <v>0.73455953401144147</v>
      </c>
      <c r="G95">
        <v>93</v>
      </c>
      <c r="H95">
        <v>0</v>
      </c>
      <c r="I95">
        <f t="shared" si="13"/>
        <v>390</v>
      </c>
      <c r="J95">
        <f t="shared" si="9"/>
        <v>4</v>
      </c>
      <c r="K95">
        <f t="shared" si="14"/>
        <v>392</v>
      </c>
      <c r="L95">
        <f t="shared" si="10"/>
        <v>2</v>
      </c>
      <c r="M95">
        <f t="shared" si="11"/>
        <v>396</v>
      </c>
      <c r="N95">
        <f t="shared" si="12"/>
        <v>6</v>
      </c>
      <c r="O95">
        <f t="shared" si="15"/>
        <v>0</v>
      </c>
    </row>
    <row r="96" spans="6:15" x14ac:dyDescent="0.25">
      <c r="F96">
        <v>0.70241464137648224</v>
      </c>
      <c r="G96">
        <v>94</v>
      </c>
      <c r="H96">
        <v>4</v>
      </c>
      <c r="I96">
        <f t="shared" si="13"/>
        <v>394</v>
      </c>
      <c r="J96">
        <f t="shared" si="9"/>
        <v>4</v>
      </c>
      <c r="K96">
        <f t="shared" si="14"/>
        <v>396</v>
      </c>
      <c r="L96">
        <f t="shared" si="10"/>
        <v>2</v>
      </c>
      <c r="M96">
        <f t="shared" si="11"/>
        <v>400</v>
      </c>
      <c r="N96">
        <f t="shared" si="12"/>
        <v>6</v>
      </c>
      <c r="O96">
        <f t="shared" si="15"/>
        <v>0</v>
      </c>
    </row>
    <row r="97" spans="6:15" x14ac:dyDescent="0.25">
      <c r="F97">
        <v>0.41066073927774249</v>
      </c>
      <c r="G97">
        <v>95</v>
      </c>
      <c r="H97">
        <v>7</v>
      </c>
      <c r="I97">
        <f t="shared" si="13"/>
        <v>401</v>
      </c>
      <c r="J97">
        <f t="shared" si="9"/>
        <v>3</v>
      </c>
      <c r="K97">
        <f t="shared" si="14"/>
        <v>401</v>
      </c>
      <c r="L97">
        <f t="shared" si="10"/>
        <v>0</v>
      </c>
      <c r="M97">
        <f t="shared" si="11"/>
        <v>404</v>
      </c>
      <c r="N97">
        <f t="shared" si="12"/>
        <v>3</v>
      </c>
      <c r="O97">
        <f t="shared" si="15"/>
        <v>1</v>
      </c>
    </row>
    <row r="98" spans="6:15" x14ac:dyDescent="0.25">
      <c r="F98">
        <v>0.21729515734316973</v>
      </c>
      <c r="G98">
        <v>96</v>
      </c>
      <c r="H98">
        <v>0</v>
      </c>
      <c r="I98">
        <f t="shared" si="13"/>
        <v>401</v>
      </c>
      <c r="J98">
        <f t="shared" si="9"/>
        <v>2</v>
      </c>
      <c r="K98">
        <f t="shared" si="14"/>
        <v>404</v>
      </c>
      <c r="L98">
        <f>K98-I98</f>
        <v>3</v>
      </c>
      <c r="M98">
        <f t="shared" si="11"/>
        <v>406</v>
      </c>
      <c r="N98">
        <f t="shared" si="12"/>
        <v>5</v>
      </c>
      <c r="O98">
        <f t="shared" si="15"/>
        <v>0</v>
      </c>
    </row>
    <row r="99" spans="6:15" x14ac:dyDescent="0.25">
      <c r="F99">
        <v>0.25725462827172774</v>
      </c>
      <c r="G99">
        <v>97</v>
      </c>
      <c r="H99">
        <v>6</v>
      </c>
      <c r="I99">
        <f t="shared" si="13"/>
        <v>407</v>
      </c>
      <c r="J99">
        <f t="shared" si="9"/>
        <v>2</v>
      </c>
      <c r="K99">
        <f t="shared" si="14"/>
        <v>407</v>
      </c>
      <c r="L99">
        <f t="shared" si="10"/>
        <v>0</v>
      </c>
      <c r="M99">
        <f t="shared" si="11"/>
        <v>409</v>
      </c>
      <c r="N99">
        <f t="shared" si="12"/>
        <v>2</v>
      </c>
      <c r="O99">
        <f t="shared" si="15"/>
        <v>1</v>
      </c>
    </row>
    <row r="100" spans="6:15" x14ac:dyDescent="0.25">
      <c r="F100">
        <v>0.83100114909329237</v>
      </c>
      <c r="G100">
        <v>98</v>
      </c>
      <c r="H100">
        <v>4</v>
      </c>
      <c r="I100">
        <f t="shared" si="13"/>
        <v>411</v>
      </c>
      <c r="J100">
        <f t="shared" si="9"/>
        <v>4</v>
      </c>
      <c r="K100">
        <f t="shared" si="14"/>
        <v>411</v>
      </c>
      <c r="L100">
        <f t="shared" si="10"/>
        <v>0</v>
      </c>
      <c r="M100">
        <f t="shared" si="11"/>
        <v>415</v>
      </c>
      <c r="N100">
        <f t="shared" si="12"/>
        <v>4</v>
      </c>
      <c r="O100">
        <f t="shared" si="15"/>
        <v>2</v>
      </c>
    </row>
    <row r="101" spans="6:15" x14ac:dyDescent="0.25">
      <c r="F101">
        <v>0.96841546409426393</v>
      </c>
      <c r="G101">
        <v>99</v>
      </c>
      <c r="H101">
        <v>1</v>
      </c>
      <c r="I101">
        <f t="shared" si="13"/>
        <v>412</v>
      </c>
      <c r="J101">
        <f t="shared" si="9"/>
        <v>6</v>
      </c>
      <c r="K101">
        <f t="shared" si="14"/>
        <v>415</v>
      </c>
      <c r="L101">
        <f t="shared" si="10"/>
        <v>3</v>
      </c>
      <c r="M101">
        <f t="shared" si="11"/>
        <v>421</v>
      </c>
      <c r="N101">
        <f t="shared" si="12"/>
        <v>9</v>
      </c>
      <c r="O101">
        <f t="shared" si="15"/>
        <v>0</v>
      </c>
    </row>
    <row r="102" spans="6:15" x14ac:dyDescent="0.25">
      <c r="F102">
        <v>0.3287280739282562</v>
      </c>
      <c r="G102">
        <v>100</v>
      </c>
      <c r="H102">
        <v>6</v>
      </c>
      <c r="I102">
        <f t="shared" si="13"/>
        <v>418</v>
      </c>
      <c r="J102">
        <f t="shared" si="9"/>
        <v>3</v>
      </c>
      <c r="K102">
        <f t="shared" si="14"/>
        <v>421</v>
      </c>
      <c r="L102">
        <f t="shared" si="10"/>
        <v>3</v>
      </c>
      <c r="M102">
        <f t="shared" si="11"/>
        <v>424</v>
      </c>
      <c r="N102">
        <f t="shared" si="12"/>
        <v>6</v>
      </c>
      <c r="O102">
        <f t="shared" si="15"/>
        <v>0</v>
      </c>
    </row>
  </sheetData>
  <mergeCells count="1">
    <mergeCell ref="H1:O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EC6C-05A8-4A5C-A7EF-5738BB3CD87B}">
  <sheetPr codeName="Sheet2"/>
  <dimension ref="A1:V894"/>
  <sheetViews>
    <sheetView zoomScale="130" zoomScaleNormal="130" workbookViewId="0">
      <selection activeCell="S17" sqref="S17"/>
    </sheetView>
  </sheetViews>
  <sheetFormatPr defaultRowHeight="15" x14ac:dyDescent="0.25"/>
  <cols>
    <col min="1" max="1" width="11.42578125" customWidth="1"/>
    <col min="2" max="2" width="12.42578125" customWidth="1"/>
    <col min="3" max="3" width="15.28515625" customWidth="1"/>
    <col min="4" max="4" width="16.42578125" customWidth="1"/>
    <col min="5" max="5" width="9.42578125" customWidth="1"/>
    <col min="6" max="6" width="9.85546875" customWidth="1"/>
    <col min="7" max="7" width="8.85546875" customWidth="1"/>
    <col min="10" max="11" width="8.85546875" customWidth="1"/>
    <col min="20" max="20" width="13.28515625" customWidth="1"/>
    <col min="22" max="22" width="11.28515625" bestFit="1" customWidth="1"/>
  </cols>
  <sheetData>
    <row r="1" spans="1:22" x14ac:dyDescent="0.25">
      <c r="A1" s="24" t="s">
        <v>21</v>
      </c>
      <c r="B1" s="24"/>
      <c r="C1" s="24"/>
    </row>
    <row r="2" spans="1:22" x14ac:dyDescent="0.25">
      <c r="A2" s="23" t="s">
        <v>24</v>
      </c>
      <c r="B2" s="23" t="s">
        <v>22</v>
      </c>
      <c r="C2" s="23" t="s">
        <v>23</v>
      </c>
      <c r="E2" s="31" t="s">
        <v>28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23"/>
      <c r="B3" s="23"/>
      <c r="C3" s="23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T3" s="25" t="s">
        <v>47</v>
      </c>
      <c r="U3" s="25"/>
      <c r="V3" s="15">
        <f>COUNTA(E7:E999)</f>
        <v>200</v>
      </c>
    </row>
    <row r="4" spans="1:22" x14ac:dyDescent="0.25">
      <c r="A4" s="4">
        <v>1</v>
      </c>
      <c r="B4" s="4">
        <v>0.25</v>
      </c>
      <c r="C4" s="4">
        <v>0.25</v>
      </c>
      <c r="E4" s="5" t="s">
        <v>29</v>
      </c>
      <c r="F4" s="6" t="s">
        <v>30</v>
      </c>
      <c r="G4" s="6" t="s">
        <v>31</v>
      </c>
      <c r="H4" s="6" t="s">
        <v>31</v>
      </c>
      <c r="I4" s="6" t="s">
        <v>31</v>
      </c>
      <c r="J4" s="6" t="s">
        <v>32</v>
      </c>
      <c r="K4" s="6" t="s">
        <v>33</v>
      </c>
      <c r="L4" s="6" t="s">
        <v>31</v>
      </c>
      <c r="M4" s="6" t="s">
        <v>31</v>
      </c>
      <c r="N4" s="6" t="s">
        <v>31</v>
      </c>
      <c r="O4" s="6" t="s">
        <v>34</v>
      </c>
      <c r="P4" s="6" t="s">
        <v>34</v>
      </c>
      <c r="Q4" s="6" t="s">
        <v>34</v>
      </c>
      <c r="R4" s="7" t="s">
        <v>34</v>
      </c>
      <c r="T4" s="35" t="s">
        <v>48</v>
      </c>
      <c r="U4" s="35"/>
      <c r="V4" s="39">
        <f>AVERAGE(F7:F999)</f>
        <v>2.2450000000000001</v>
      </c>
    </row>
    <row r="5" spans="1:22" ht="14.45" customHeight="1" x14ac:dyDescent="0.25">
      <c r="A5" s="4">
        <v>2</v>
      </c>
      <c r="B5" s="4">
        <v>0.4</v>
      </c>
      <c r="C5" s="4">
        <f>C4+B5</f>
        <v>0.65</v>
      </c>
      <c r="E5" s="20" t="s">
        <v>35</v>
      </c>
      <c r="F5" s="20" t="s">
        <v>36</v>
      </c>
      <c r="G5" s="20" t="s">
        <v>37</v>
      </c>
      <c r="H5" s="21" t="s">
        <v>46</v>
      </c>
      <c r="I5" s="22"/>
      <c r="J5" s="20" t="s">
        <v>38</v>
      </c>
      <c r="K5" s="20" t="s">
        <v>39</v>
      </c>
      <c r="L5" s="20" t="s">
        <v>40</v>
      </c>
      <c r="M5" s="18" t="s">
        <v>41</v>
      </c>
      <c r="N5" s="19"/>
      <c r="O5" s="20" t="s">
        <v>44</v>
      </c>
      <c r="P5" s="21" t="s">
        <v>13</v>
      </c>
      <c r="Q5" s="22"/>
      <c r="R5" s="20" t="s">
        <v>45</v>
      </c>
      <c r="T5" s="35"/>
      <c r="U5" s="35"/>
      <c r="V5" s="39"/>
    </row>
    <row r="6" spans="1:22" x14ac:dyDescent="0.25">
      <c r="A6" s="4">
        <v>3</v>
      </c>
      <c r="B6" s="4">
        <v>0.2</v>
      </c>
      <c r="C6" s="4">
        <f t="shared" ref="C6:C7" si="0">C5+B6</f>
        <v>0.85000000000000009</v>
      </c>
      <c r="D6" s="38" t="s">
        <v>57</v>
      </c>
      <c r="E6" s="20"/>
      <c r="F6" s="20"/>
      <c r="G6" s="20"/>
      <c r="H6" s="10" t="s">
        <v>42</v>
      </c>
      <c r="I6" s="10" t="s">
        <v>43</v>
      </c>
      <c r="J6" s="20"/>
      <c r="K6" s="20"/>
      <c r="L6" s="20"/>
      <c r="M6" s="11" t="s">
        <v>42</v>
      </c>
      <c r="N6" s="8" t="s">
        <v>43</v>
      </c>
      <c r="O6" s="20"/>
      <c r="P6" s="44" t="s">
        <v>42</v>
      </c>
      <c r="Q6" s="45" t="s">
        <v>43</v>
      </c>
      <c r="R6" s="20"/>
      <c r="S6" s="36" t="s">
        <v>58</v>
      </c>
      <c r="T6" s="35" t="s">
        <v>49</v>
      </c>
      <c r="U6" s="35"/>
      <c r="V6" s="39" cm="1">
        <f t="array" ref="V6">SUM(A4:A7*B4:B7)</f>
        <v>2.25</v>
      </c>
    </row>
    <row r="7" spans="1:22" x14ac:dyDescent="0.25">
      <c r="A7" s="4">
        <v>4</v>
      </c>
      <c r="B7" s="4">
        <v>0.15</v>
      </c>
      <c r="C7" s="4">
        <f t="shared" si="0"/>
        <v>1</v>
      </c>
      <c r="D7" s="38">
        <v>0.83523565785318177</v>
      </c>
      <c r="E7" s="4">
        <v>1</v>
      </c>
      <c r="F7" s="4">
        <v>0</v>
      </c>
      <c r="G7" s="4">
        <v>0</v>
      </c>
      <c r="H7" s="4">
        <v>0</v>
      </c>
      <c r="I7" s="4">
        <v>0</v>
      </c>
      <c r="J7" s="4" t="str">
        <f>ChoseServer(H7,I7,G7)</f>
        <v>Server 1</v>
      </c>
      <c r="K7" s="4">
        <f>ServiceTime2(J7,S7)</f>
        <v>2</v>
      </c>
      <c r="L7" s="4">
        <f>MAX(HLOOKUP(J7,$H$6:$I$999,E7+1,FALSE),G7)</f>
        <v>0</v>
      </c>
      <c r="M7" s="7">
        <f>IF(J7="Server 1",K7+MAX(H7,G7),"-")</f>
        <v>2</v>
      </c>
      <c r="N7" s="7" t="str">
        <f>IF(J7="Server 2",K7+MAX(I7,G7),"-")</f>
        <v>-</v>
      </c>
      <c r="O7" s="4">
        <f>L7-G7</f>
        <v>0</v>
      </c>
      <c r="P7" s="4">
        <v>0</v>
      </c>
      <c r="Q7" s="4">
        <v>1</v>
      </c>
      <c r="R7" s="4">
        <f>O7+K7</f>
        <v>2</v>
      </c>
      <c r="S7" s="16">
        <v>0.29703068299569679</v>
      </c>
      <c r="T7" s="35"/>
      <c r="U7" s="35"/>
      <c r="V7" s="39"/>
    </row>
    <row r="8" spans="1:22" ht="14.45" customHeight="1" x14ac:dyDescent="0.25">
      <c r="D8" s="38">
        <v>4.9226014019384756E-2</v>
      </c>
      <c r="E8" s="4">
        <v>2</v>
      </c>
      <c r="F8" s="4">
        <f>InterArivalTime(D8)</f>
        <v>1</v>
      </c>
      <c r="G8" s="4">
        <f>G7+F8</f>
        <v>1</v>
      </c>
      <c r="H8" s="4">
        <f>ServerAvailable1(H7,I7,G7,K7)</f>
        <v>2</v>
      </c>
      <c r="I8" s="4">
        <f>ServerAvailable2(I7,H7,G7,K7)</f>
        <v>0</v>
      </c>
      <c r="J8" s="4" t="str">
        <f>ChoseServer(H8,I8,G8)</f>
        <v>Server 2</v>
      </c>
      <c r="K8" s="4">
        <f t="shared" ref="K8:K71" si="1">ServiceTime2(J8,S8)</f>
        <v>3</v>
      </c>
      <c r="L8" s="4">
        <f t="shared" ref="L8:L71" si="2">MAX(HLOOKUP(J8,$H$6:$I$999,E8+1,FALSE),G8)</f>
        <v>1</v>
      </c>
      <c r="M8" s="7" t="str">
        <f t="shared" ref="M8:M71" si="3">IF(J8="Server 1",K8+MAX(H8,G8),"-")</f>
        <v>-</v>
      </c>
      <c r="N8" s="7">
        <f t="shared" ref="N8:N71" si="4">IF(J8="Server 2",K8+MAX(I8,G8),"-")</f>
        <v>4</v>
      </c>
      <c r="O8" s="4">
        <f t="shared" ref="O8:O71" si="5">L8-G8</f>
        <v>0</v>
      </c>
      <c r="P8" s="4"/>
      <c r="Q8" s="4"/>
      <c r="R8" s="4">
        <f>O8+K8</f>
        <v>3</v>
      </c>
      <c r="S8" s="16">
        <v>0.31126643611853178</v>
      </c>
      <c r="T8" s="28" t="s">
        <v>56</v>
      </c>
      <c r="U8" s="37" t="s">
        <v>42</v>
      </c>
      <c r="V8" s="12">
        <f>COUNTIF(J7:$J$999,"Server 1")</f>
        <v>115</v>
      </c>
    </row>
    <row r="9" spans="1:22" x14ac:dyDescent="0.25">
      <c r="A9" s="17" t="s">
        <v>25</v>
      </c>
      <c r="B9" s="17"/>
      <c r="C9" s="17"/>
      <c r="D9" s="38">
        <v>0.22598917087326942</v>
      </c>
      <c r="E9" s="4">
        <v>3</v>
      </c>
      <c r="F9" s="4">
        <f t="shared" ref="F9:F72" si="6">InterArivalTime(D9)</f>
        <v>1</v>
      </c>
      <c r="G9" s="4">
        <f t="shared" ref="G9:G72" si="7">G8+F9</f>
        <v>2</v>
      </c>
      <c r="H9" s="4">
        <f>ServerAvailable1(H8,I8,G8,K8)</f>
        <v>2</v>
      </c>
      <c r="I9" s="4">
        <f>ServerAvailable2(I8,H8,G8,K8)</f>
        <v>4</v>
      </c>
      <c r="J9" s="4" t="str">
        <f t="shared" ref="J9:J71" si="8">ChoseServer(H9,I9,G9)</f>
        <v>Server 1</v>
      </c>
      <c r="K9" s="4">
        <f t="shared" si="1"/>
        <v>5</v>
      </c>
      <c r="L9" s="4">
        <f t="shared" si="2"/>
        <v>2</v>
      </c>
      <c r="M9" s="7">
        <f t="shared" si="3"/>
        <v>7</v>
      </c>
      <c r="N9" s="7" t="str">
        <f t="shared" si="4"/>
        <v>-</v>
      </c>
      <c r="O9" s="4">
        <f t="shared" si="5"/>
        <v>0</v>
      </c>
      <c r="P9" s="4"/>
      <c r="Q9" s="4"/>
      <c r="R9" s="4">
        <f>O9+K9</f>
        <v>5</v>
      </c>
      <c r="S9" s="16">
        <v>0.99943868546895831</v>
      </c>
      <c r="T9" s="30"/>
      <c r="U9" s="37" t="s">
        <v>43</v>
      </c>
      <c r="V9" s="12">
        <f>COUNTIF(J7:J999,"Server 2")</f>
        <v>85</v>
      </c>
    </row>
    <row r="10" spans="1:22" x14ac:dyDescent="0.25">
      <c r="A10" s="23" t="s">
        <v>27</v>
      </c>
      <c r="B10" s="23" t="s">
        <v>22</v>
      </c>
      <c r="C10" s="23" t="s">
        <v>23</v>
      </c>
      <c r="D10" s="38">
        <v>0.46753664870646405</v>
      </c>
      <c r="E10" s="4">
        <v>4</v>
      </c>
      <c r="F10" s="4">
        <f t="shared" si="6"/>
        <v>2</v>
      </c>
      <c r="G10" s="4">
        <f>G9+F10</f>
        <v>4</v>
      </c>
      <c r="H10" s="4">
        <f t="shared" ref="H10:H73" si="9">ServerAvailable1(H9,I9,G9,K9)</f>
        <v>7</v>
      </c>
      <c r="I10" s="4">
        <f t="shared" ref="I10:I73" si="10">ServerAvailable2(I9,H9,G9,K9)</f>
        <v>4</v>
      </c>
      <c r="J10" s="4" t="str">
        <f t="shared" si="8"/>
        <v>Server 2</v>
      </c>
      <c r="K10" s="4">
        <f t="shared" si="1"/>
        <v>5</v>
      </c>
      <c r="L10" s="4">
        <f t="shared" si="2"/>
        <v>4</v>
      </c>
      <c r="M10" s="7" t="str">
        <f t="shared" si="3"/>
        <v>-</v>
      </c>
      <c r="N10" s="7">
        <f t="shared" si="4"/>
        <v>9</v>
      </c>
      <c r="O10" s="4">
        <f t="shared" si="5"/>
        <v>0</v>
      </c>
      <c r="P10" s="4"/>
      <c r="Q10" s="4"/>
      <c r="R10" s="4">
        <f t="shared" ref="R10:R71" si="11">O10+K10</f>
        <v>5</v>
      </c>
      <c r="S10" s="16">
        <v>0.63484102898095141</v>
      </c>
      <c r="T10" s="28" t="s">
        <v>50</v>
      </c>
      <c r="U10" s="26" t="s">
        <v>42</v>
      </c>
      <c r="V10" s="40">
        <f>AverageServiceTime("Server 1",$V$3,$J$7:$J$999,$K$7:$K$999)</f>
        <v>3.3391304347826085</v>
      </c>
    </row>
    <row r="11" spans="1:22" x14ac:dyDescent="0.25">
      <c r="A11" s="23"/>
      <c r="B11" s="23"/>
      <c r="C11" s="23"/>
      <c r="D11" s="38">
        <v>0.56553479197850065</v>
      </c>
      <c r="E11" s="4">
        <v>5</v>
      </c>
      <c r="F11" s="4">
        <f t="shared" si="6"/>
        <v>2</v>
      </c>
      <c r="G11" s="4">
        <f t="shared" si="7"/>
        <v>6</v>
      </c>
      <c r="H11" s="4">
        <f t="shared" si="9"/>
        <v>7</v>
      </c>
      <c r="I11" s="4">
        <f t="shared" si="10"/>
        <v>9</v>
      </c>
      <c r="J11" s="4" t="str">
        <f t="shared" si="8"/>
        <v>Server 1</v>
      </c>
      <c r="K11" s="4">
        <f t="shared" si="1"/>
        <v>2</v>
      </c>
      <c r="L11" s="4">
        <f t="shared" si="2"/>
        <v>7</v>
      </c>
      <c r="M11" s="7">
        <f t="shared" si="3"/>
        <v>9</v>
      </c>
      <c r="N11" s="7" t="str">
        <f t="shared" si="4"/>
        <v>-</v>
      </c>
      <c r="O11" s="4">
        <f t="shared" si="5"/>
        <v>1</v>
      </c>
      <c r="P11" s="4"/>
      <c r="Q11" s="4"/>
      <c r="R11" s="4">
        <f t="shared" si="11"/>
        <v>3</v>
      </c>
      <c r="S11" s="16">
        <v>0.10076326780956313</v>
      </c>
      <c r="T11" s="29"/>
      <c r="U11" s="27"/>
      <c r="V11" s="41"/>
    </row>
    <row r="12" spans="1:22" ht="14.45" customHeight="1" x14ac:dyDescent="0.25">
      <c r="A12" s="4">
        <v>2</v>
      </c>
      <c r="B12" s="4">
        <v>0.3</v>
      </c>
      <c r="C12" s="4">
        <f>B12</f>
        <v>0.3</v>
      </c>
      <c r="D12" s="38">
        <v>0.27211096022636772</v>
      </c>
      <c r="E12" s="4">
        <v>6</v>
      </c>
      <c r="F12" s="4">
        <f t="shared" si="6"/>
        <v>2</v>
      </c>
      <c r="G12" s="4">
        <f t="shared" si="7"/>
        <v>8</v>
      </c>
      <c r="H12" s="4">
        <f t="shared" si="9"/>
        <v>9</v>
      </c>
      <c r="I12" s="4">
        <f t="shared" si="10"/>
        <v>9</v>
      </c>
      <c r="J12" s="4" t="str">
        <f t="shared" si="8"/>
        <v>Server 1</v>
      </c>
      <c r="K12" s="4">
        <f t="shared" si="1"/>
        <v>2</v>
      </c>
      <c r="L12" s="4">
        <f>MAX(HLOOKUP(J12,$H$6:$I$999,E12+1,FALSE),G12)</f>
        <v>9</v>
      </c>
      <c r="M12" s="7">
        <f t="shared" si="3"/>
        <v>11</v>
      </c>
      <c r="N12" s="7" t="str">
        <f t="shared" si="4"/>
        <v>-</v>
      </c>
      <c r="O12" s="4">
        <f t="shared" si="5"/>
        <v>1</v>
      </c>
      <c r="P12" s="4"/>
      <c r="Q12" s="4"/>
      <c r="R12" s="4">
        <f t="shared" si="11"/>
        <v>3</v>
      </c>
      <c r="S12" s="16">
        <v>9.8832617270255163E-2</v>
      </c>
      <c r="T12" s="29"/>
      <c r="U12" s="26" t="s">
        <v>43</v>
      </c>
      <c r="V12" s="42">
        <f>AverageServiceTime("Server 2",$V$3,$J$7:$J$999,$K$7:$K$999)</f>
        <v>4.1647058823529415</v>
      </c>
    </row>
    <row r="13" spans="1:22" x14ac:dyDescent="0.25">
      <c r="A13" s="4">
        <v>3</v>
      </c>
      <c r="B13" s="4">
        <v>0.28000000000000003</v>
      </c>
      <c r="C13" s="4">
        <f>C12+B13</f>
        <v>0.58000000000000007</v>
      </c>
      <c r="D13" s="38">
        <v>0.80457775231337203</v>
      </c>
      <c r="E13" s="4">
        <v>7</v>
      </c>
      <c r="F13" s="4">
        <f t="shared" si="6"/>
        <v>3</v>
      </c>
      <c r="G13" s="4">
        <f t="shared" si="7"/>
        <v>11</v>
      </c>
      <c r="H13" s="4">
        <f t="shared" si="9"/>
        <v>11</v>
      </c>
      <c r="I13" s="4">
        <f t="shared" si="10"/>
        <v>9</v>
      </c>
      <c r="J13" s="4" t="str">
        <f t="shared" si="8"/>
        <v>Server 1</v>
      </c>
      <c r="K13" s="4">
        <f t="shared" si="1"/>
        <v>2</v>
      </c>
      <c r="L13" s="4">
        <f t="shared" si="2"/>
        <v>11</v>
      </c>
      <c r="M13" s="7">
        <f t="shared" si="3"/>
        <v>13</v>
      </c>
      <c r="N13" s="7" t="str">
        <f t="shared" si="4"/>
        <v>-</v>
      </c>
      <c r="O13" s="4">
        <f t="shared" si="5"/>
        <v>0</v>
      </c>
      <c r="P13" s="4"/>
      <c r="Q13" s="4"/>
      <c r="R13" s="4">
        <f t="shared" si="11"/>
        <v>2</v>
      </c>
      <c r="S13" s="16">
        <v>0.15949870300332691</v>
      </c>
      <c r="T13" s="30"/>
      <c r="U13" s="27"/>
      <c r="V13" s="43"/>
    </row>
    <row r="14" spans="1:22" x14ac:dyDescent="0.25">
      <c r="A14" s="4">
        <v>4</v>
      </c>
      <c r="B14" s="4">
        <v>0.25</v>
      </c>
      <c r="C14" s="4">
        <f>C13+B14</f>
        <v>0.83000000000000007</v>
      </c>
      <c r="D14" s="38">
        <v>0.28190075310795559</v>
      </c>
      <c r="E14" s="4">
        <v>8</v>
      </c>
      <c r="F14" s="4">
        <f t="shared" si="6"/>
        <v>2</v>
      </c>
      <c r="G14" s="4">
        <f t="shared" si="7"/>
        <v>13</v>
      </c>
      <c r="H14" s="4">
        <f t="shared" si="9"/>
        <v>13</v>
      </c>
      <c r="I14" s="4">
        <f t="shared" si="10"/>
        <v>9</v>
      </c>
      <c r="J14" s="4" t="str">
        <f t="shared" si="8"/>
        <v>Server 1</v>
      </c>
      <c r="K14" s="4">
        <f t="shared" si="1"/>
        <v>5</v>
      </c>
      <c r="L14" s="4">
        <f t="shared" si="2"/>
        <v>13</v>
      </c>
      <c r="M14" s="7">
        <f t="shared" si="3"/>
        <v>18</v>
      </c>
      <c r="N14" s="7" t="str">
        <f t="shared" si="4"/>
        <v>-</v>
      </c>
      <c r="O14" s="4">
        <f t="shared" si="5"/>
        <v>0</v>
      </c>
      <c r="P14" s="4"/>
      <c r="Q14" s="4"/>
      <c r="R14" s="4">
        <f t="shared" si="11"/>
        <v>5</v>
      </c>
      <c r="S14" s="16">
        <v>0.9644580427354279</v>
      </c>
      <c r="T14" s="28" t="s">
        <v>51</v>
      </c>
      <c r="U14" s="26" t="s">
        <v>42</v>
      </c>
      <c r="V14" s="40" cm="1">
        <f t="array" ref="V14">SUM(A12:A15*B12:B15)</f>
        <v>3.29</v>
      </c>
    </row>
    <row r="15" spans="1:22" x14ac:dyDescent="0.25">
      <c r="A15" s="4">
        <v>5</v>
      </c>
      <c r="B15" s="4">
        <v>0.17</v>
      </c>
      <c r="C15" s="4">
        <f>C14+B15</f>
        <v>1</v>
      </c>
      <c r="D15" s="38">
        <v>0.14750886910363992</v>
      </c>
      <c r="E15" s="4">
        <v>9</v>
      </c>
      <c r="F15" s="4">
        <f t="shared" si="6"/>
        <v>1</v>
      </c>
      <c r="G15" s="4">
        <f t="shared" si="7"/>
        <v>14</v>
      </c>
      <c r="H15" s="4">
        <f t="shared" si="9"/>
        <v>18</v>
      </c>
      <c r="I15" s="4">
        <f t="shared" si="10"/>
        <v>9</v>
      </c>
      <c r="J15" s="4" t="str">
        <f t="shared" si="8"/>
        <v>Server 2</v>
      </c>
      <c r="K15" s="4">
        <f t="shared" si="1"/>
        <v>5</v>
      </c>
      <c r="L15" s="4">
        <f t="shared" si="2"/>
        <v>14</v>
      </c>
      <c r="M15" s="7" t="str">
        <f t="shared" si="3"/>
        <v>-</v>
      </c>
      <c r="N15" s="7">
        <f t="shared" si="4"/>
        <v>19</v>
      </c>
      <c r="O15" s="4">
        <f t="shared" si="5"/>
        <v>0</v>
      </c>
      <c r="P15" s="4"/>
      <c r="Q15" s="4"/>
      <c r="R15" s="4">
        <f t="shared" si="11"/>
        <v>5</v>
      </c>
      <c r="S15" s="16">
        <v>0.76204802564663099</v>
      </c>
      <c r="T15" s="29"/>
      <c r="U15" s="27"/>
      <c r="V15" s="41"/>
    </row>
    <row r="16" spans="1:22" x14ac:dyDescent="0.25">
      <c r="D16" s="38">
        <v>0.10454327553481491</v>
      </c>
      <c r="E16" s="4">
        <v>10</v>
      </c>
      <c r="F16" s="4">
        <f t="shared" si="6"/>
        <v>1</v>
      </c>
      <c r="G16" s="4">
        <f t="shared" si="7"/>
        <v>15</v>
      </c>
      <c r="H16" s="4">
        <f t="shared" si="9"/>
        <v>18</v>
      </c>
      <c r="I16" s="4">
        <f t="shared" si="10"/>
        <v>19</v>
      </c>
      <c r="J16" s="4" t="str">
        <f t="shared" si="8"/>
        <v>Server 1</v>
      </c>
      <c r="K16" s="4">
        <f t="shared" si="1"/>
        <v>2</v>
      </c>
      <c r="L16" s="4">
        <f t="shared" si="2"/>
        <v>18</v>
      </c>
      <c r="M16" s="7">
        <f t="shared" si="3"/>
        <v>20</v>
      </c>
      <c r="N16" s="7" t="str">
        <f t="shared" si="4"/>
        <v>-</v>
      </c>
      <c r="O16" s="4">
        <f t="shared" si="5"/>
        <v>3</v>
      </c>
      <c r="P16" s="4"/>
      <c r="Q16" s="4"/>
      <c r="R16" s="4">
        <f t="shared" si="11"/>
        <v>5</v>
      </c>
      <c r="S16" s="16">
        <v>0.15905433645421529</v>
      </c>
      <c r="T16" s="29"/>
      <c r="U16" s="26" t="s">
        <v>43</v>
      </c>
      <c r="V16" s="42" cm="1">
        <f t="array" ref="V16">SUM(A20:A23*B20:B23)</f>
        <v>4.25</v>
      </c>
    </row>
    <row r="17" spans="1:22" x14ac:dyDescent="0.25">
      <c r="A17" s="17" t="s">
        <v>26</v>
      </c>
      <c r="B17" s="17"/>
      <c r="C17" s="17"/>
      <c r="D17" s="38">
        <v>0.44891983137701008</v>
      </c>
      <c r="E17" s="4">
        <v>11</v>
      </c>
      <c r="F17" s="4">
        <f t="shared" si="6"/>
        <v>2</v>
      </c>
      <c r="G17" s="4">
        <f t="shared" si="7"/>
        <v>17</v>
      </c>
      <c r="H17" s="4">
        <f t="shared" si="9"/>
        <v>20</v>
      </c>
      <c r="I17" s="4">
        <f t="shared" si="10"/>
        <v>19</v>
      </c>
      <c r="J17" s="4" t="str">
        <f t="shared" si="8"/>
        <v>Server 2</v>
      </c>
      <c r="K17" s="4">
        <f t="shared" si="1"/>
        <v>3</v>
      </c>
      <c r="L17" s="4">
        <f t="shared" si="2"/>
        <v>19</v>
      </c>
      <c r="M17" s="7" t="str">
        <f t="shared" si="3"/>
        <v>-</v>
      </c>
      <c r="N17" s="7">
        <f t="shared" si="4"/>
        <v>22</v>
      </c>
      <c r="O17" s="4">
        <f t="shared" si="5"/>
        <v>2</v>
      </c>
      <c r="P17" s="4"/>
      <c r="Q17" s="4"/>
      <c r="R17" s="4">
        <f t="shared" si="11"/>
        <v>5</v>
      </c>
      <c r="S17" s="16">
        <v>0.20800333496747492</v>
      </c>
      <c r="T17" s="30"/>
      <c r="U17" s="27"/>
      <c r="V17" s="43"/>
    </row>
    <row r="18" spans="1:22" x14ac:dyDescent="0.25">
      <c r="A18" s="23" t="s">
        <v>27</v>
      </c>
      <c r="B18" s="23" t="s">
        <v>22</v>
      </c>
      <c r="C18" s="23" t="s">
        <v>23</v>
      </c>
      <c r="D18" s="38">
        <v>0.65658125673431089</v>
      </c>
      <c r="E18" s="4">
        <v>12</v>
      </c>
      <c r="F18" s="4">
        <f t="shared" si="6"/>
        <v>3</v>
      </c>
      <c r="G18" s="4">
        <f t="shared" si="7"/>
        <v>20</v>
      </c>
      <c r="H18" s="4">
        <f t="shared" si="9"/>
        <v>20</v>
      </c>
      <c r="I18" s="4">
        <f t="shared" si="10"/>
        <v>22</v>
      </c>
      <c r="J18" s="4" t="str">
        <f t="shared" si="8"/>
        <v>Server 1</v>
      </c>
      <c r="K18" s="4">
        <f t="shared" si="1"/>
        <v>4</v>
      </c>
      <c r="L18" s="4">
        <f t="shared" si="2"/>
        <v>20</v>
      </c>
      <c r="M18" s="7">
        <f t="shared" si="3"/>
        <v>24</v>
      </c>
      <c r="N18" s="7" t="str">
        <f t="shared" si="4"/>
        <v>-</v>
      </c>
      <c r="O18" s="4">
        <f t="shared" si="5"/>
        <v>0</v>
      </c>
      <c r="P18" s="4"/>
      <c r="Q18" s="4"/>
      <c r="R18" s="4">
        <f t="shared" si="11"/>
        <v>4</v>
      </c>
      <c r="S18" s="16">
        <v>0.7620677847682652</v>
      </c>
      <c r="T18" s="32" t="s">
        <v>52</v>
      </c>
      <c r="U18" s="33"/>
      <c r="V18" s="13">
        <f>1-COUNTIF(O7:O999,0)/V3</f>
        <v>0.30000000000000004</v>
      </c>
    </row>
    <row r="19" spans="1:22" x14ac:dyDescent="0.25">
      <c r="A19" s="23"/>
      <c r="B19" s="23"/>
      <c r="C19" s="23"/>
      <c r="D19" s="38">
        <v>0.71876567332868613</v>
      </c>
      <c r="E19" s="4">
        <v>13</v>
      </c>
      <c r="F19" s="4">
        <f t="shared" si="6"/>
        <v>3</v>
      </c>
      <c r="G19" s="4">
        <f t="shared" si="7"/>
        <v>23</v>
      </c>
      <c r="H19" s="4">
        <f t="shared" si="9"/>
        <v>24</v>
      </c>
      <c r="I19" s="4">
        <f t="shared" si="10"/>
        <v>22</v>
      </c>
      <c r="J19" s="4" t="str">
        <f t="shared" si="8"/>
        <v>Server 2</v>
      </c>
      <c r="K19" s="4">
        <f t="shared" si="1"/>
        <v>4</v>
      </c>
      <c r="L19" s="4">
        <f t="shared" si="2"/>
        <v>23</v>
      </c>
      <c r="M19" s="7" t="str">
        <f t="shared" si="3"/>
        <v>-</v>
      </c>
      <c r="N19" s="7">
        <f t="shared" si="4"/>
        <v>27</v>
      </c>
      <c r="O19" s="4">
        <f t="shared" si="5"/>
        <v>0</v>
      </c>
      <c r="P19" s="4"/>
      <c r="Q19" s="4"/>
      <c r="R19" s="4">
        <f t="shared" si="11"/>
        <v>4</v>
      </c>
      <c r="S19" s="16">
        <v>0.54569943040881141</v>
      </c>
      <c r="T19" s="32" t="s">
        <v>53</v>
      </c>
      <c r="U19" s="33"/>
      <c r="V19" s="14">
        <f>MAX(O7:O999)</f>
        <v>5</v>
      </c>
    </row>
    <row r="20" spans="1:22" x14ac:dyDescent="0.25">
      <c r="A20" s="4">
        <v>3</v>
      </c>
      <c r="B20" s="4">
        <v>0.35</v>
      </c>
      <c r="C20" s="4">
        <f>B20</f>
        <v>0.35</v>
      </c>
      <c r="D20" s="38">
        <v>0.94775115317755598</v>
      </c>
      <c r="E20" s="4">
        <v>14</v>
      </c>
      <c r="F20" s="4">
        <f t="shared" si="6"/>
        <v>4</v>
      </c>
      <c r="G20" s="4">
        <f t="shared" si="7"/>
        <v>27</v>
      </c>
      <c r="H20" s="4">
        <f t="shared" si="9"/>
        <v>24</v>
      </c>
      <c r="I20" s="4">
        <f t="shared" si="10"/>
        <v>27</v>
      </c>
      <c r="J20" s="4" t="str">
        <f t="shared" si="8"/>
        <v>Server 1</v>
      </c>
      <c r="K20" s="4">
        <f t="shared" si="1"/>
        <v>2</v>
      </c>
      <c r="L20" s="4">
        <f t="shared" si="2"/>
        <v>27</v>
      </c>
      <c r="M20" s="7">
        <f t="shared" si="3"/>
        <v>29</v>
      </c>
      <c r="N20" s="7" t="str">
        <f t="shared" si="4"/>
        <v>-</v>
      </c>
      <c r="O20" s="4">
        <f t="shared" si="5"/>
        <v>0</v>
      </c>
      <c r="P20" s="4"/>
      <c r="Q20" s="4"/>
      <c r="R20" s="4">
        <f t="shared" si="11"/>
        <v>2</v>
      </c>
      <c r="S20" s="16">
        <v>0.1019934268735363</v>
      </c>
      <c r="T20" s="23" t="s">
        <v>54</v>
      </c>
      <c r="U20" s="23"/>
      <c r="V20" s="34">
        <f>AVERAGE(R7:R999)</f>
        <v>4.2549999999999999</v>
      </c>
    </row>
    <row r="21" spans="1:22" x14ac:dyDescent="0.25">
      <c r="A21" s="4">
        <v>4</v>
      </c>
      <c r="B21" s="4">
        <v>0.25</v>
      </c>
      <c r="C21" s="4">
        <f>C20+B21</f>
        <v>0.6</v>
      </c>
      <c r="D21" s="38">
        <v>0.33160473807032942</v>
      </c>
      <c r="E21" s="4">
        <v>15</v>
      </c>
      <c r="F21" s="4">
        <f t="shared" si="6"/>
        <v>2</v>
      </c>
      <c r="G21" s="4">
        <f t="shared" si="7"/>
        <v>29</v>
      </c>
      <c r="H21" s="4">
        <f t="shared" si="9"/>
        <v>29</v>
      </c>
      <c r="I21" s="4">
        <f t="shared" si="10"/>
        <v>27</v>
      </c>
      <c r="J21" s="4" t="str">
        <f t="shared" si="8"/>
        <v>Server 1</v>
      </c>
      <c r="K21" s="4">
        <f t="shared" si="1"/>
        <v>5</v>
      </c>
      <c r="L21" s="4">
        <f t="shared" si="2"/>
        <v>29</v>
      </c>
      <c r="M21" s="7">
        <f t="shared" si="3"/>
        <v>34</v>
      </c>
      <c r="N21" s="7" t="str">
        <f t="shared" si="4"/>
        <v>-</v>
      </c>
      <c r="O21" s="4">
        <f t="shared" si="5"/>
        <v>0</v>
      </c>
      <c r="P21" s="4"/>
      <c r="Q21" s="4"/>
      <c r="R21" s="4">
        <f t="shared" si="11"/>
        <v>5</v>
      </c>
      <c r="S21" s="16">
        <v>0.96004525757936132</v>
      </c>
      <c r="T21" s="23"/>
      <c r="U21" s="23"/>
      <c r="V21" s="34"/>
    </row>
    <row r="22" spans="1:22" x14ac:dyDescent="0.25">
      <c r="A22" s="4">
        <v>5</v>
      </c>
      <c r="B22" s="4">
        <v>0.2</v>
      </c>
      <c r="C22" s="4">
        <f t="shared" ref="C22:C23" si="12">C21+B22</f>
        <v>0.8</v>
      </c>
      <c r="D22" s="38">
        <v>0.27687687814888051</v>
      </c>
      <c r="E22" s="4">
        <v>16</v>
      </c>
      <c r="F22" s="4">
        <f t="shared" si="6"/>
        <v>2</v>
      </c>
      <c r="G22" s="4">
        <f t="shared" si="7"/>
        <v>31</v>
      </c>
      <c r="H22" s="4">
        <f t="shared" si="9"/>
        <v>34</v>
      </c>
      <c r="I22" s="4">
        <f t="shared" si="10"/>
        <v>27</v>
      </c>
      <c r="J22" s="4" t="str">
        <f t="shared" si="8"/>
        <v>Server 2</v>
      </c>
      <c r="K22" s="4">
        <f t="shared" si="1"/>
        <v>3</v>
      </c>
      <c r="L22" s="4">
        <f t="shared" si="2"/>
        <v>31</v>
      </c>
      <c r="M22" s="7" t="str">
        <f t="shared" si="3"/>
        <v>-</v>
      </c>
      <c r="N22" s="7">
        <f t="shared" si="4"/>
        <v>34</v>
      </c>
      <c r="O22" s="4">
        <f t="shared" si="5"/>
        <v>0</v>
      </c>
      <c r="P22" s="4"/>
      <c r="Q22" s="4"/>
      <c r="R22" s="4">
        <f t="shared" si="11"/>
        <v>3</v>
      </c>
      <c r="S22" s="16">
        <v>0.18340000040937576</v>
      </c>
      <c r="T22" s="25" t="s">
        <v>55</v>
      </c>
      <c r="U22" s="25"/>
      <c r="V22" s="15">
        <f>MAX(M7:N999)</f>
        <v>455</v>
      </c>
    </row>
    <row r="23" spans="1:22" x14ac:dyDescent="0.25">
      <c r="A23" s="4">
        <v>6</v>
      </c>
      <c r="B23" s="4">
        <v>0.2</v>
      </c>
      <c r="C23" s="4">
        <f t="shared" si="12"/>
        <v>1</v>
      </c>
      <c r="D23" s="38">
        <v>0.80019927290530091</v>
      </c>
      <c r="E23" s="4">
        <v>17</v>
      </c>
      <c r="F23" s="4">
        <f t="shared" si="6"/>
        <v>3</v>
      </c>
      <c r="G23" s="4">
        <f t="shared" si="7"/>
        <v>34</v>
      </c>
      <c r="H23" s="4">
        <f t="shared" si="9"/>
        <v>34</v>
      </c>
      <c r="I23" s="4">
        <f t="shared" si="10"/>
        <v>34</v>
      </c>
      <c r="J23" s="4" t="str">
        <f t="shared" si="8"/>
        <v>Server 1</v>
      </c>
      <c r="K23" s="4">
        <f t="shared" si="1"/>
        <v>3</v>
      </c>
      <c r="L23" s="4">
        <f t="shared" si="2"/>
        <v>34</v>
      </c>
      <c r="M23" s="7">
        <f t="shared" si="3"/>
        <v>37</v>
      </c>
      <c r="N23" s="7" t="str">
        <f t="shared" si="4"/>
        <v>-</v>
      </c>
      <c r="O23" s="4">
        <f t="shared" si="5"/>
        <v>0</v>
      </c>
      <c r="P23" s="4"/>
      <c r="Q23" s="4"/>
      <c r="R23" s="4">
        <f t="shared" si="11"/>
        <v>3</v>
      </c>
      <c r="S23" s="16">
        <v>0.50460105855406978</v>
      </c>
    </row>
    <row r="24" spans="1:22" x14ac:dyDescent="0.25">
      <c r="D24" s="38">
        <v>0.81030375692399415</v>
      </c>
      <c r="E24" s="4">
        <v>18</v>
      </c>
      <c r="F24" s="4">
        <f t="shared" si="6"/>
        <v>3</v>
      </c>
      <c r="G24" s="4">
        <f t="shared" si="7"/>
        <v>37</v>
      </c>
      <c r="H24" s="4">
        <f t="shared" si="9"/>
        <v>37</v>
      </c>
      <c r="I24" s="4">
        <f t="shared" si="10"/>
        <v>34</v>
      </c>
      <c r="J24" s="4" t="str">
        <f t="shared" si="8"/>
        <v>Server 1</v>
      </c>
      <c r="K24" s="4">
        <f t="shared" si="1"/>
        <v>4</v>
      </c>
      <c r="L24" s="4">
        <f t="shared" si="2"/>
        <v>37</v>
      </c>
      <c r="M24" s="7">
        <f t="shared" si="3"/>
        <v>41</v>
      </c>
      <c r="N24" s="7" t="str">
        <f t="shared" si="4"/>
        <v>-</v>
      </c>
      <c r="O24" s="4">
        <f t="shared" si="5"/>
        <v>0</v>
      </c>
      <c r="P24" s="4"/>
      <c r="Q24" s="4"/>
      <c r="R24" s="4">
        <f t="shared" si="11"/>
        <v>4</v>
      </c>
      <c r="S24" s="16">
        <v>0.59623491385414862</v>
      </c>
    </row>
    <row r="25" spans="1:22" x14ac:dyDescent="0.25">
      <c r="D25" s="38">
        <v>0.70815340461295817</v>
      </c>
      <c r="E25" s="4">
        <v>19</v>
      </c>
      <c r="F25" s="4">
        <f t="shared" si="6"/>
        <v>3</v>
      </c>
      <c r="G25" s="4">
        <f t="shared" si="7"/>
        <v>40</v>
      </c>
      <c r="H25" s="4">
        <f t="shared" si="9"/>
        <v>41</v>
      </c>
      <c r="I25" s="4">
        <f t="shared" si="10"/>
        <v>34</v>
      </c>
      <c r="J25" s="4" t="str">
        <f t="shared" si="8"/>
        <v>Server 2</v>
      </c>
      <c r="K25" s="4">
        <f t="shared" si="1"/>
        <v>4</v>
      </c>
      <c r="L25" s="4">
        <f t="shared" si="2"/>
        <v>40</v>
      </c>
      <c r="M25" s="7" t="str">
        <f t="shared" si="3"/>
        <v>-</v>
      </c>
      <c r="N25" s="7">
        <f t="shared" si="4"/>
        <v>44</v>
      </c>
      <c r="O25" s="4">
        <f t="shared" si="5"/>
        <v>0</v>
      </c>
      <c r="P25" s="4"/>
      <c r="Q25" s="4"/>
      <c r="R25" s="4">
        <f t="shared" si="11"/>
        <v>4</v>
      </c>
      <c r="S25" s="16">
        <v>0.52666473312575279</v>
      </c>
    </row>
    <row r="26" spans="1:22" x14ac:dyDescent="0.25">
      <c r="D26" s="38">
        <v>0.96247797178618077</v>
      </c>
      <c r="E26" s="9">
        <v>20</v>
      </c>
      <c r="F26" s="4">
        <f t="shared" si="6"/>
        <v>4</v>
      </c>
      <c r="G26" s="9">
        <f t="shared" si="7"/>
        <v>44</v>
      </c>
      <c r="H26" s="4">
        <f t="shared" si="9"/>
        <v>41</v>
      </c>
      <c r="I26" s="4">
        <f t="shared" si="10"/>
        <v>44</v>
      </c>
      <c r="J26" s="9" t="str">
        <f t="shared" si="8"/>
        <v>Server 1</v>
      </c>
      <c r="K26" s="4">
        <f t="shared" si="1"/>
        <v>2</v>
      </c>
      <c r="L26" s="4">
        <f t="shared" si="2"/>
        <v>44</v>
      </c>
      <c r="M26" s="7">
        <f t="shared" si="3"/>
        <v>46</v>
      </c>
      <c r="N26" s="7" t="str">
        <f t="shared" si="4"/>
        <v>-</v>
      </c>
      <c r="O26" s="4">
        <f t="shared" si="5"/>
        <v>0</v>
      </c>
      <c r="P26" s="4"/>
      <c r="Q26" s="4"/>
      <c r="R26" s="4">
        <f t="shared" si="11"/>
        <v>2</v>
      </c>
      <c r="S26" s="16">
        <v>5.9803145667447377E-2</v>
      </c>
    </row>
    <row r="27" spans="1:22" x14ac:dyDescent="0.25">
      <c r="D27" s="38">
        <v>0.99443768685882705</v>
      </c>
      <c r="E27" s="4">
        <v>21</v>
      </c>
      <c r="F27" s="4">
        <f t="shared" si="6"/>
        <v>4</v>
      </c>
      <c r="G27" s="4">
        <f t="shared" si="7"/>
        <v>48</v>
      </c>
      <c r="H27" s="4">
        <f t="shared" si="9"/>
        <v>46</v>
      </c>
      <c r="I27" s="4">
        <f t="shared" si="10"/>
        <v>44</v>
      </c>
      <c r="J27" s="4" t="str">
        <f t="shared" si="8"/>
        <v>Server 2</v>
      </c>
      <c r="K27" s="4">
        <f t="shared" si="1"/>
        <v>3</v>
      </c>
      <c r="L27" s="4">
        <f t="shared" si="2"/>
        <v>48</v>
      </c>
      <c r="M27" s="7" t="str">
        <f t="shared" si="3"/>
        <v>-</v>
      </c>
      <c r="N27" s="7">
        <f t="shared" si="4"/>
        <v>51</v>
      </c>
      <c r="O27" s="4">
        <f t="shared" si="5"/>
        <v>0</v>
      </c>
      <c r="P27" s="4"/>
      <c r="Q27" s="4"/>
      <c r="R27" s="4">
        <f t="shared" si="11"/>
        <v>3</v>
      </c>
      <c r="S27" s="16">
        <v>0.25029323883692656</v>
      </c>
    </row>
    <row r="28" spans="1:22" x14ac:dyDescent="0.25">
      <c r="D28" s="38">
        <v>0.58261519105546922</v>
      </c>
      <c r="E28" s="4">
        <v>22</v>
      </c>
      <c r="F28" s="4">
        <f t="shared" si="6"/>
        <v>2</v>
      </c>
      <c r="G28" s="4">
        <f t="shared" si="7"/>
        <v>50</v>
      </c>
      <c r="H28" s="4">
        <f t="shared" si="9"/>
        <v>51</v>
      </c>
      <c r="I28" s="4">
        <f t="shared" si="10"/>
        <v>44</v>
      </c>
      <c r="J28" s="4" t="str">
        <f t="shared" si="8"/>
        <v>Server 2</v>
      </c>
      <c r="K28" s="4">
        <f t="shared" si="1"/>
        <v>4</v>
      </c>
      <c r="L28" s="4">
        <f t="shared" si="2"/>
        <v>50</v>
      </c>
      <c r="M28" s="7" t="str">
        <f t="shared" si="3"/>
        <v>-</v>
      </c>
      <c r="N28" s="7">
        <f t="shared" si="4"/>
        <v>54</v>
      </c>
      <c r="O28" s="4">
        <f t="shared" si="5"/>
        <v>0</v>
      </c>
      <c r="P28" s="4"/>
      <c r="Q28" s="4"/>
      <c r="R28" s="4">
        <f t="shared" si="11"/>
        <v>4</v>
      </c>
      <c r="S28" s="16">
        <v>0.45667898564301079</v>
      </c>
    </row>
    <row r="29" spans="1:22" x14ac:dyDescent="0.25">
      <c r="D29" s="38">
        <v>0.54948825448739835</v>
      </c>
      <c r="E29" s="4">
        <v>23</v>
      </c>
      <c r="F29" s="4">
        <f t="shared" si="6"/>
        <v>2</v>
      </c>
      <c r="G29" s="4">
        <f t="shared" si="7"/>
        <v>52</v>
      </c>
      <c r="H29" s="4">
        <f t="shared" si="9"/>
        <v>51</v>
      </c>
      <c r="I29" s="4">
        <f t="shared" si="10"/>
        <v>54</v>
      </c>
      <c r="J29" s="4" t="str">
        <f t="shared" si="8"/>
        <v>Server 1</v>
      </c>
      <c r="K29" s="4">
        <f t="shared" si="1"/>
        <v>4</v>
      </c>
      <c r="L29" s="4">
        <f t="shared" si="2"/>
        <v>52</v>
      </c>
      <c r="M29" s="7">
        <f t="shared" si="3"/>
        <v>56</v>
      </c>
      <c r="N29" s="7" t="str">
        <f t="shared" si="4"/>
        <v>-</v>
      </c>
      <c r="O29" s="4">
        <f t="shared" si="5"/>
        <v>0</v>
      </c>
      <c r="P29" s="4"/>
      <c r="Q29" s="4"/>
      <c r="R29" s="4">
        <f t="shared" si="11"/>
        <v>4</v>
      </c>
      <c r="S29" s="16">
        <v>0.73240672796946693</v>
      </c>
    </row>
    <row r="30" spans="1:22" x14ac:dyDescent="0.25">
      <c r="D30" s="38">
        <v>0.30533603130451281</v>
      </c>
      <c r="E30" s="4">
        <v>24</v>
      </c>
      <c r="F30" s="4">
        <f t="shared" si="6"/>
        <v>2</v>
      </c>
      <c r="G30" s="4">
        <f t="shared" si="7"/>
        <v>54</v>
      </c>
      <c r="H30" s="4">
        <f t="shared" si="9"/>
        <v>56</v>
      </c>
      <c r="I30" s="4">
        <f t="shared" si="10"/>
        <v>54</v>
      </c>
      <c r="J30" s="4" t="str">
        <f t="shared" si="8"/>
        <v>Server 2</v>
      </c>
      <c r="K30" s="4">
        <f t="shared" si="1"/>
        <v>4</v>
      </c>
      <c r="L30" s="4">
        <f t="shared" si="2"/>
        <v>54</v>
      </c>
      <c r="M30" s="7" t="str">
        <f t="shared" si="3"/>
        <v>-</v>
      </c>
      <c r="N30" s="7">
        <f t="shared" si="4"/>
        <v>58</v>
      </c>
      <c r="O30" s="4">
        <f t="shared" si="5"/>
        <v>0</v>
      </c>
      <c r="P30" s="4"/>
      <c r="Q30" s="4"/>
      <c r="R30" s="4">
        <f t="shared" si="11"/>
        <v>4</v>
      </c>
      <c r="S30" s="16">
        <v>0.45990378249668851</v>
      </c>
    </row>
    <row r="31" spans="1:22" x14ac:dyDescent="0.25">
      <c r="D31" s="38">
        <v>0.41074575217965625</v>
      </c>
      <c r="E31" s="4">
        <v>25</v>
      </c>
      <c r="F31" s="4">
        <f t="shared" si="6"/>
        <v>2</v>
      </c>
      <c r="G31" s="4">
        <f t="shared" si="7"/>
        <v>56</v>
      </c>
      <c r="H31" s="4">
        <f t="shared" si="9"/>
        <v>56</v>
      </c>
      <c r="I31" s="4">
        <f t="shared" si="10"/>
        <v>58</v>
      </c>
      <c r="J31" s="4" t="str">
        <f t="shared" si="8"/>
        <v>Server 1</v>
      </c>
      <c r="K31" s="4">
        <f t="shared" si="1"/>
        <v>2</v>
      </c>
      <c r="L31" s="4">
        <f t="shared" si="2"/>
        <v>56</v>
      </c>
      <c r="M31" s="7">
        <f t="shared" si="3"/>
        <v>58</v>
      </c>
      <c r="N31" s="7" t="str">
        <f t="shared" si="4"/>
        <v>-</v>
      </c>
      <c r="O31" s="4">
        <f t="shared" si="5"/>
        <v>0</v>
      </c>
      <c r="P31" s="4"/>
      <c r="Q31" s="4"/>
      <c r="R31" s="4">
        <f t="shared" si="11"/>
        <v>2</v>
      </c>
      <c r="S31" s="16">
        <v>0.2830928670892584</v>
      </c>
    </row>
    <row r="32" spans="1:22" x14ac:dyDescent="0.25">
      <c r="D32" s="38">
        <v>0.79840402210077122</v>
      </c>
      <c r="E32" s="4">
        <v>26</v>
      </c>
      <c r="F32" s="4">
        <f t="shared" si="6"/>
        <v>3</v>
      </c>
      <c r="G32" s="4">
        <f t="shared" si="7"/>
        <v>59</v>
      </c>
      <c r="H32" s="4">
        <f t="shared" si="9"/>
        <v>58</v>
      </c>
      <c r="I32" s="4">
        <f t="shared" si="10"/>
        <v>58</v>
      </c>
      <c r="J32" s="4" t="str">
        <f t="shared" si="8"/>
        <v>Server 1</v>
      </c>
      <c r="K32" s="4">
        <f t="shared" si="1"/>
        <v>4</v>
      </c>
      <c r="L32" s="4">
        <f t="shared" si="2"/>
        <v>59</v>
      </c>
      <c r="M32" s="7">
        <f t="shared" si="3"/>
        <v>63</v>
      </c>
      <c r="N32" s="7" t="str">
        <f t="shared" si="4"/>
        <v>-</v>
      </c>
      <c r="O32" s="4">
        <f t="shared" si="5"/>
        <v>0</v>
      </c>
      <c r="P32" s="4"/>
      <c r="Q32" s="4"/>
      <c r="R32" s="4">
        <f t="shared" si="11"/>
        <v>4</v>
      </c>
      <c r="S32" s="16">
        <v>0.75547772176152972</v>
      </c>
    </row>
    <row r="33" spans="4:19" x14ac:dyDescent="0.25">
      <c r="D33" s="38">
        <v>0.40322000393916613</v>
      </c>
      <c r="E33" s="4">
        <v>27</v>
      </c>
      <c r="F33" s="4">
        <f t="shared" si="6"/>
        <v>2</v>
      </c>
      <c r="G33" s="4">
        <f t="shared" si="7"/>
        <v>61</v>
      </c>
      <c r="H33" s="4">
        <f t="shared" si="9"/>
        <v>63</v>
      </c>
      <c r="I33" s="4">
        <f t="shared" si="10"/>
        <v>58</v>
      </c>
      <c r="J33" s="4" t="str">
        <f t="shared" si="8"/>
        <v>Server 2</v>
      </c>
      <c r="K33" s="4">
        <f t="shared" si="1"/>
        <v>3</v>
      </c>
      <c r="L33" s="4">
        <f t="shared" si="2"/>
        <v>61</v>
      </c>
      <c r="M33" s="7" t="str">
        <f t="shared" si="3"/>
        <v>-</v>
      </c>
      <c r="N33" s="7">
        <f t="shared" si="4"/>
        <v>64</v>
      </c>
      <c r="O33" s="4">
        <f t="shared" si="5"/>
        <v>0</v>
      </c>
      <c r="P33" s="4"/>
      <c r="Q33" s="4"/>
      <c r="R33" s="4">
        <f t="shared" si="11"/>
        <v>3</v>
      </c>
      <c r="S33" s="16">
        <v>0.23917388038642695</v>
      </c>
    </row>
    <row r="34" spans="4:19" x14ac:dyDescent="0.25">
      <c r="D34" s="38">
        <v>0.60068070194497758</v>
      </c>
      <c r="E34" s="4">
        <v>28</v>
      </c>
      <c r="F34" s="4">
        <f t="shared" si="6"/>
        <v>2</v>
      </c>
      <c r="G34" s="4">
        <f t="shared" si="7"/>
        <v>63</v>
      </c>
      <c r="H34" s="4">
        <f t="shared" si="9"/>
        <v>63</v>
      </c>
      <c r="I34" s="4">
        <f t="shared" si="10"/>
        <v>64</v>
      </c>
      <c r="J34" s="4" t="str">
        <f t="shared" si="8"/>
        <v>Server 1</v>
      </c>
      <c r="K34" s="4">
        <f t="shared" si="1"/>
        <v>3</v>
      </c>
      <c r="L34" s="4">
        <f t="shared" si="2"/>
        <v>63</v>
      </c>
      <c r="M34" s="7">
        <f t="shared" si="3"/>
        <v>66</v>
      </c>
      <c r="N34" s="7" t="str">
        <f t="shared" si="4"/>
        <v>-</v>
      </c>
      <c r="O34" s="4">
        <f t="shared" si="5"/>
        <v>0</v>
      </c>
      <c r="P34" s="4"/>
      <c r="Q34" s="4"/>
      <c r="R34" s="4">
        <f t="shared" si="11"/>
        <v>3</v>
      </c>
      <c r="S34" s="16">
        <v>0.46863200817495709</v>
      </c>
    </row>
    <row r="35" spans="4:19" x14ac:dyDescent="0.25">
      <c r="D35" s="38">
        <v>0.3042116365830011</v>
      </c>
      <c r="E35" s="4">
        <v>29</v>
      </c>
      <c r="F35" s="4">
        <f t="shared" si="6"/>
        <v>2</v>
      </c>
      <c r="G35" s="4">
        <f t="shared" si="7"/>
        <v>65</v>
      </c>
      <c r="H35" s="4">
        <f t="shared" si="9"/>
        <v>66</v>
      </c>
      <c r="I35" s="4">
        <f t="shared" si="10"/>
        <v>64</v>
      </c>
      <c r="J35" s="4" t="str">
        <f t="shared" si="8"/>
        <v>Server 2</v>
      </c>
      <c r="K35" s="4">
        <f t="shared" si="1"/>
        <v>4</v>
      </c>
      <c r="L35" s="4">
        <f t="shared" si="2"/>
        <v>65</v>
      </c>
      <c r="M35" s="7" t="str">
        <f t="shared" si="3"/>
        <v>-</v>
      </c>
      <c r="N35" s="7">
        <f t="shared" si="4"/>
        <v>69</v>
      </c>
      <c r="O35" s="4">
        <f t="shared" si="5"/>
        <v>0</v>
      </c>
      <c r="P35" s="4"/>
      <c r="Q35" s="4"/>
      <c r="R35" s="4">
        <f t="shared" si="11"/>
        <v>4</v>
      </c>
      <c r="S35" s="16">
        <v>0.51863316710009189</v>
      </c>
    </row>
    <row r="36" spans="4:19" x14ac:dyDescent="0.25">
      <c r="D36" s="38">
        <v>0.90800527543755505</v>
      </c>
      <c r="E36" s="4">
        <v>30</v>
      </c>
      <c r="F36" s="4">
        <f t="shared" si="6"/>
        <v>4</v>
      </c>
      <c r="G36" s="4">
        <f t="shared" si="7"/>
        <v>69</v>
      </c>
      <c r="H36" s="4">
        <f t="shared" si="9"/>
        <v>66</v>
      </c>
      <c r="I36" s="4">
        <f t="shared" si="10"/>
        <v>69</v>
      </c>
      <c r="J36" s="4" t="str">
        <f t="shared" si="8"/>
        <v>Server 1</v>
      </c>
      <c r="K36" s="4">
        <f t="shared" si="1"/>
        <v>2</v>
      </c>
      <c r="L36" s="4">
        <f t="shared" si="2"/>
        <v>69</v>
      </c>
      <c r="M36" s="7">
        <f t="shared" si="3"/>
        <v>71</v>
      </c>
      <c r="N36" s="7" t="str">
        <f t="shared" si="4"/>
        <v>-</v>
      </c>
      <c r="O36" s="4">
        <f t="shared" si="5"/>
        <v>0</v>
      </c>
      <c r="P36" s="4"/>
      <c r="Q36" s="4"/>
      <c r="R36" s="4">
        <f t="shared" si="11"/>
        <v>2</v>
      </c>
      <c r="S36" s="16">
        <v>4.2679742431063317E-2</v>
      </c>
    </row>
    <row r="37" spans="4:19" x14ac:dyDescent="0.25">
      <c r="D37" s="38">
        <v>0.60831899742329121</v>
      </c>
      <c r="E37" s="4">
        <v>31</v>
      </c>
      <c r="F37" s="4">
        <f t="shared" si="6"/>
        <v>2</v>
      </c>
      <c r="G37" s="4">
        <f t="shared" si="7"/>
        <v>71</v>
      </c>
      <c r="H37" s="4">
        <f t="shared" si="9"/>
        <v>71</v>
      </c>
      <c r="I37" s="4">
        <f t="shared" si="10"/>
        <v>69</v>
      </c>
      <c r="J37" s="4" t="str">
        <f t="shared" si="8"/>
        <v>Server 1</v>
      </c>
      <c r="K37" s="4">
        <f t="shared" si="1"/>
        <v>3</v>
      </c>
      <c r="L37" s="4">
        <f t="shared" si="2"/>
        <v>71</v>
      </c>
      <c r="M37" s="7">
        <f t="shared" si="3"/>
        <v>74</v>
      </c>
      <c r="N37" s="7" t="str">
        <f t="shared" si="4"/>
        <v>-</v>
      </c>
      <c r="O37" s="4">
        <f t="shared" si="5"/>
        <v>0</v>
      </c>
      <c r="P37" s="4"/>
      <c r="Q37" s="4"/>
      <c r="R37" s="4">
        <f t="shared" si="11"/>
        <v>3</v>
      </c>
      <c r="S37" s="16">
        <v>0.5499711404940314</v>
      </c>
    </row>
    <row r="38" spans="4:19" x14ac:dyDescent="0.25">
      <c r="D38" s="38">
        <v>0.61887254641994283</v>
      </c>
      <c r="E38" s="4">
        <v>32</v>
      </c>
      <c r="F38" s="4">
        <f t="shared" si="6"/>
        <v>2</v>
      </c>
      <c r="G38" s="4">
        <f t="shared" si="7"/>
        <v>73</v>
      </c>
      <c r="H38" s="4">
        <f t="shared" si="9"/>
        <v>74</v>
      </c>
      <c r="I38" s="4">
        <f t="shared" si="10"/>
        <v>69</v>
      </c>
      <c r="J38" s="4" t="str">
        <f t="shared" si="8"/>
        <v>Server 2</v>
      </c>
      <c r="K38" s="4">
        <f t="shared" si="1"/>
        <v>3</v>
      </c>
      <c r="L38" s="4">
        <f t="shared" si="2"/>
        <v>73</v>
      </c>
      <c r="M38" s="7" t="str">
        <f t="shared" si="3"/>
        <v>-</v>
      </c>
      <c r="N38" s="7">
        <f t="shared" si="4"/>
        <v>76</v>
      </c>
      <c r="O38" s="4">
        <f t="shared" si="5"/>
        <v>0</v>
      </c>
      <c r="P38" s="4"/>
      <c r="Q38" s="4"/>
      <c r="R38" s="4">
        <f t="shared" si="11"/>
        <v>3</v>
      </c>
      <c r="S38" s="16">
        <v>3.1183947374588961E-2</v>
      </c>
    </row>
    <row r="39" spans="4:19" x14ac:dyDescent="0.25">
      <c r="D39" s="38">
        <v>0.36043397749431072</v>
      </c>
      <c r="E39" s="4">
        <v>33</v>
      </c>
      <c r="F39" s="4">
        <f t="shared" si="6"/>
        <v>2</v>
      </c>
      <c r="G39" s="4">
        <f t="shared" si="7"/>
        <v>75</v>
      </c>
      <c r="H39" s="4">
        <f t="shared" si="9"/>
        <v>74</v>
      </c>
      <c r="I39" s="4">
        <f t="shared" si="10"/>
        <v>76</v>
      </c>
      <c r="J39" s="4" t="str">
        <f t="shared" si="8"/>
        <v>Server 1</v>
      </c>
      <c r="K39" s="4">
        <f t="shared" si="1"/>
        <v>2</v>
      </c>
      <c r="L39" s="4">
        <f t="shared" si="2"/>
        <v>75</v>
      </c>
      <c r="M39" s="7">
        <f t="shared" si="3"/>
        <v>77</v>
      </c>
      <c r="N39" s="7" t="str">
        <f t="shared" si="4"/>
        <v>-</v>
      </c>
      <c r="O39" s="4">
        <f t="shared" si="5"/>
        <v>0</v>
      </c>
      <c r="P39" s="4"/>
      <c r="Q39" s="4"/>
      <c r="R39" s="4">
        <f t="shared" si="11"/>
        <v>2</v>
      </c>
      <c r="S39" s="16">
        <v>0.23956654028863655</v>
      </c>
    </row>
    <row r="40" spans="4:19" x14ac:dyDescent="0.25">
      <c r="D40" s="38">
        <v>0.92031616517809267</v>
      </c>
      <c r="E40" s="4">
        <v>34</v>
      </c>
      <c r="F40" s="4">
        <f t="shared" si="6"/>
        <v>4</v>
      </c>
      <c r="G40" s="4">
        <f t="shared" si="7"/>
        <v>79</v>
      </c>
      <c r="H40" s="4">
        <f t="shared" si="9"/>
        <v>77</v>
      </c>
      <c r="I40" s="4">
        <f t="shared" si="10"/>
        <v>76</v>
      </c>
      <c r="J40" s="4" t="str">
        <f t="shared" si="8"/>
        <v>Server 2</v>
      </c>
      <c r="K40" s="4">
        <f t="shared" si="1"/>
        <v>6</v>
      </c>
      <c r="L40" s="4">
        <f t="shared" si="2"/>
        <v>79</v>
      </c>
      <c r="M40" s="7" t="str">
        <f t="shared" si="3"/>
        <v>-</v>
      </c>
      <c r="N40" s="7">
        <f t="shared" si="4"/>
        <v>85</v>
      </c>
      <c r="O40" s="4">
        <f t="shared" si="5"/>
        <v>0</v>
      </c>
      <c r="P40" s="4"/>
      <c r="Q40" s="4"/>
      <c r="R40" s="4">
        <f t="shared" si="11"/>
        <v>6</v>
      </c>
      <c r="S40" s="16">
        <v>0.99643007336834544</v>
      </c>
    </row>
    <row r="41" spans="4:19" x14ac:dyDescent="0.25">
      <c r="D41" s="38">
        <v>4.1170811415759734E-2</v>
      </c>
      <c r="E41" s="4">
        <v>35</v>
      </c>
      <c r="F41" s="4">
        <f t="shared" si="6"/>
        <v>1</v>
      </c>
      <c r="G41" s="4">
        <f t="shared" si="7"/>
        <v>80</v>
      </c>
      <c r="H41" s="4">
        <f t="shared" si="9"/>
        <v>85</v>
      </c>
      <c r="I41" s="4">
        <f t="shared" si="10"/>
        <v>76</v>
      </c>
      <c r="J41" s="4" t="str">
        <f t="shared" si="8"/>
        <v>Server 2</v>
      </c>
      <c r="K41" s="4">
        <f t="shared" si="1"/>
        <v>3</v>
      </c>
      <c r="L41" s="4">
        <f t="shared" si="2"/>
        <v>80</v>
      </c>
      <c r="M41" s="7" t="str">
        <f t="shared" si="3"/>
        <v>-</v>
      </c>
      <c r="N41" s="7">
        <f t="shared" si="4"/>
        <v>83</v>
      </c>
      <c r="O41" s="4">
        <f t="shared" si="5"/>
        <v>0</v>
      </c>
      <c r="P41" s="4"/>
      <c r="Q41" s="4"/>
      <c r="R41" s="4">
        <f t="shared" si="11"/>
        <v>3</v>
      </c>
      <c r="S41" s="16">
        <v>0.24410330818342019</v>
      </c>
    </row>
    <row r="42" spans="4:19" x14ac:dyDescent="0.25">
      <c r="D42" s="38">
        <v>0.5856998916580558</v>
      </c>
      <c r="E42" s="4">
        <v>36</v>
      </c>
      <c r="F42" s="4">
        <f t="shared" si="6"/>
        <v>2</v>
      </c>
      <c r="G42" s="4">
        <f t="shared" si="7"/>
        <v>82</v>
      </c>
      <c r="H42" s="4">
        <f t="shared" si="9"/>
        <v>85</v>
      </c>
      <c r="I42" s="4">
        <f t="shared" si="10"/>
        <v>83</v>
      </c>
      <c r="J42" s="4" t="str">
        <f t="shared" si="8"/>
        <v>Server 2</v>
      </c>
      <c r="K42" s="4">
        <f t="shared" si="1"/>
        <v>6</v>
      </c>
      <c r="L42" s="4">
        <f t="shared" si="2"/>
        <v>83</v>
      </c>
      <c r="M42" s="7" t="str">
        <f t="shared" si="3"/>
        <v>-</v>
      </c>
      <c r="N42" s="7">
        <f t="shared" si="4"/>
        <v>89</v>
      </c>
      <c r="O42" s="4">
        <f t="shared" si="5"/>
        <v>1</v>
      </c>
      <c r="P42" s="4"/>
      <c r="Q42" s="4"/>
      <c r="R42" s="4">
        <f t="shared" si="11"/>
        <v>7</v>
      </c>
      <c r="S42" s="16">
        <v>0.86861226413154924</v>
      </c>
    </row>
    <row r="43" spans="4:19" x14ac:dyDescent="0.25">
      <c r="D43" s="38">
        <v>0.96057622987344427</v>
      </c>
      <c r="E43" s="4">
        <v>37</v>
      </c>
      <c r="F43" s="4">
        <f t="shared" si="6"/>
        <v>4</v>
      </c>
      <c r="G43" s="4">
        <f t="shared" si="7"/>
        <v>86</v>
      </c>
      <c r="H43" s="4">
        <f t="shared" si="9"/>
        <v>85</v>
      </c>
      <c r="I43" s="4">
        <f t="shared" si="10"/>
        <v>89</v>
      </c>
      <c r="J43" s="4" t="str">
        <f t="shared" si="8"/>
        <v>Server 1</v>
      </c>
      <c r="K43" s="4">
        <f t="shared" si="1"/>
        <v>2</v>
      </c>
      <c r="L43" s="4">
        <f t="shared" si="2"/>
        <v>86</v>
      </c>
      <c r="M43" s="7">
        <f t="shared" si="3"/>
        <v>88</v>
      </c>
      <c r="N43" s="7" t="str">
        <f t="shared" si="4"/>
        <v>-</v>
      </c>
      <c r="O43" s="4">
        <f t="shared" si="5"/>
        <v>0</v>
      </c>
      <c r="P43" s="4"/>
      <c r="Q43" s="4"/>
      <c r="R43" s="4">
        <f t="shared" si="11"/>
        <v>2</v>
      </c>
      <c r="S43" s="16">
        <v>1.8909736609120653E-3</v>
      </c>
    </row>
    <row r="44" spans="4:19" x14ac:dyDescent="0.25">
      <c r="D44" s="38">
        <v>0.72937117755470227</v>
      </c>
      <c r="E44" s="4">
        <v>38</v>
      </c>
      <c r="F44" s="4">
        <f t="shared" si="6"/>
        <v>3</v>
      </c>
      <c r="G44" s="4">
        <f t="shared" si="7"/>
        <v>89</v>
      </c>
      <c r="H44" s="4">
        <f t="shared" si="9"/>
        <v>88</v>
      </c>
      <c r="I44" s="4">
        <f t="shared" si="10"/>
        <v>89</v>
      </c>
      <c r="J44" s="4" t="str">
        <f t="shared" si="8"/>
        <v>Server 1</v>
      </c>
      <c r="K44" s="4">
        <f t="shared" si="1"/>
        <v>4</v>
      </c>
      <c r="L44" s="4">
        <f t="shared" si="2"/>
        <v>89</v>
      </c>
      <c r="M44" s="7">
        <f t="shared" si="3"/>
        <v>93</v>
      </c>
      <c r="N44" s="7" t="str">
        <f t="shared" si="4"/>
        <v>-</v>
      </c>
      <c r="O44" s="4">
        <f t="shared" si="5"/>
        <v>0</v>
      </c>
      <c r="P44" s="4"/>
      <c r="Q44" s="4"/>
      <c r="R44" s="4">
        <f t="shared" si="11"/>
        <v>4</v>
      </c>
      <c r="S44" s="16">
        <v>0.80764953343189616</v>
      </c>
    </row>
    <row r="45" spans="4:19" x14ac:dyDescent="0.25">
      <c r="D45" s="38">
        <v>0.36225499211752843</v>
      </c>
      <c r="E45" s="4">
        <v>39</v>
      </c>
      <c r="F45" s="4">
        <f t="shared" si="6"/>
        <v>2</v>
      </c>
      <c r="G45" s="4">
        <f t="shared" si="7"/>
        <v>91</v>
      </c>
      <c r="H45" s="4">
        <f t="shared" si="9"/>
        <v>93</v>
      </c>
      <c r="I45" s="4">
        <f t="shared" si="10"/>
        <v>89</v>
      </c>
      <c r="J45" s="4" t="str">
        <f t="shared" si="8"/>
        <v>Server 2</v>
      </c>
      <c r="K45" s="4">
        <f t="shared" si="1"/>
        <v>3</v>
      </c>
      <c r="L45" s="4">
        <f t="shared" si="2"/>
        <v>91</v>
      </c>
      <c r="M45" s="7" t="str">
        <f t="shared" si="3"/>
        <v>-</v>
      </c>
      <c r="N45" s="7">
        <f t="shared" si="4"/>
        <v>94</v>
      </c>
      <c r="O45" s="4">
        <f t="shared" si="5"/>
        <v>0</v>
      </c>
      <c r="P45" s="4"/>
      <c r="Q45" s="4"/>
      <c r="R45" s="4">
        <f t="shared" si="11"/>
        <v>3</v>
      </c>
      <c r="S45" s="16">
        <v>0.18220598199680704</v>
      </c>
    </row>
    <row r="46" spans="4:19" x14ac:dyDescent="0.25">
      <c r="D46" s="38">
        <v>0.59102030428171681</v>
      </c>
      <c r="E46" s="4">
        <v>40</v>
      </c>
      <c r="F46" s="4">
        <f t="shared" si="6"/>
        <v>2</v>
      </c>
      <c r="G46" s="4">
        <f t="shared" si="7"/>
        <v>93</v>
      </c>
      <c r="H46" s="4">
        <f t="shared" si="9"/>
        <v>93</v>
      </c>
      <c r="I46" s="4">
        <f t="shared" si="10"/>
        <v>94</v>
      </c>
      <c r="J46" s="4" t="str">
        <f t="shared" si="8"/>
        <v>Server 1</v>
      </c>
      <c r="K46" s="4">
        <f t="shared" si="1"/>
        <v>2</v>
      </c>
      <c r="L46" s="4">
        <f t="shared" si="2"/>
        <v>93</v>
      </c>
      <c r="M46" s="7">
        <f t="shared" si="3"/>
        <v>95</v>
      </c>
      <c r="N46" s="7" t="str">
        <f t="shared" si="4"/>
        <v>-</v>
      </c>
      <c r="O46" s="4">
        <f t="shared" si="5"/>
        <v>0</v>
      </c>
      <c r="P46" s="4"/>
      <c r="Q46" s="4"/>
      <c r="R46" s="4">
        <f t="shared" si="11"/>
        <v>2</v>
      </c>
      <c r="S46" s="16">
        <v>4.9742530127052542E-2</v>
      </c>
    </row>
    <row r="47" spans="4:19" x14ac:dyDescent="0.25">
      <c r="D47" s="38">
        <v>0.35597079439243151</v>
      </c>
      <c r="E47" s="4">
        <v>41</v>
      </c>
      <c r="F47" s="4">
        <f t="shared" si="6"/>
        <v>2</v>
      </c>
      <c r="G47" s="4">
        <f t="shared" si="7"/>
        <v>95</v>
      </c>
      <c r="H47" s="4">
        <f t="shared" si="9"/>
        <v>95</v>
      </c>
      <c r="I47" s="4">
        <f t="shared" si="10"/>
        <v>94</v>
      </c>
      <c r="J47" s="4" t="str">
        <f t="shared" si="8"/>
        <v>Server 1</v>
      </c>
      <c r="K47" s="4">
        <f t="shared" si="1"/>
        <v>4</v>
      </c>
      <c r="L47" s="4">
        <f t="shared" si="2"/>
        <v>95</v>
      </c>
      <c r="M47" s="7">
        <f t="shared" si="3"/>
        <v>99</v>
      </c>
      <c r="N47" s="7" t="str">
        <f t="shared" si="4"/>
        <v>-</v>
      </c>
      <c r="O47" s="4">
        <f t="shared" si="5"/>
        <v>0</v>
      </c>
      <c r="P47" s="4"/>
      <c r="Q47" s="4"/>
      <c r="R47" s="4">
        <f t="shared" si="11"/>
        <v>4</v>
      </c>
      <c r="S47" s="16">
        <v>0.6827508773798745</v>
      </c>
    </row>
    <row r="48" spans="4:19" x14ac:dyDescent="0.25">
      <c r="D48" s="38">
        <v>0.31456429998806701</v>
      </c>
      <c r="E48" s="4">
        <v>42</v>
      </c>
      <c r="F48" s="4">
        <f t="shared" si="6"/>
        <v>2</v>
      </c>
      <c r="G48" s="4">
        <f t="shared" si="7"/>
        <v>97</v>
      </c>
      <c r="H48" s="4">
        <f t="shared" si="9"/>
        <v>99</v>
      </c>
      <c r="I48" s="4">
        <f t="shared" si="10"/>
        <v>94</v>
      </c>
      <c r="J48" s="4" t="str">
        <f t="shared" si="8"/>
        <v>Server 2</v>
      </c>
      <c r="K48" s="4">
        <f t="shared" si="1"/>
        <v>6</v>
      </c>
      <c r="L48" s="4">
        <f t="shared" si="2"/>
        <v>97</v>
      </c>
      <c r="M48" s="7" t="str">
        <f t="shared" si="3"/>
        <v>-</v>
      </c>
      <c r="N48" s="7">
        <f t="shared" si="4"/>
        <v>103</v>
      </c>
      <c r="O48" s="4">
        <f t="shared" si="5"/>
        <v>0</v>
      </c>
      <c r="P48" s="4"/>
      <c r="Q48" s="4"/>
      <c r="R48" s="4">
        <f t="shared" si="11"/>
        <v>6</v>
      </c>
      <c r="S48" s="16">
        <v>0.96243902414802029</v>
      </c>
    </row>
    <row r="49" spans="4:19" x14ac:dyDescent="0.25">
      <c r="D49" s="38">
        <v>2.9929721481044114E-2</v>
      </c>
      <c r="E49" s="4">
        <v>43</v>
      </c>
      <c r="F49" s="4">
        <f t="shared" si="6"/>
        <v>1</v>
      </c>
      <c r="G49" s="4">
        <f t="shared" si="7"/>
        <v>98</v>
      </c>
      <c r="H49" s="4">
        <f t="shared" si="9"/>
        <v>99</v>
      </c>
      <c r="I49" s="4">
        <f t="shared" si="10"/>
        <v>103</v>
      </c>
      <c r="J49" s="4" t="str">
        <f t="shared" si="8"/>
        <v>Server 1</v>
      </c>
      <c r="K49" s="4">
        <f t="shared" si="1"/>
        <v>4</v>
      </c>
      <c r="L49" s="4">
        <f t="shared" si="2"/>
        <v>99</v>
      </c>
      <c r="M49" s="7">
        <f t="shared" si="3"/>
        <v>103</v>
      </c>
      <c r="N49" s="7" t="str">
        <f t="shared" si="4"/>
        <v>-</v>
      </c>
      <c r="O49" s="4">
        <f t="shared" si="5"/>
        <v>1</v>
      </c>
      <c r="P49" s="4"/>
      <c r="Q49" s="4"/>
      <c r="R49" s="4">
        <f t="shared" si="11"/>
        <v>5</v>
      </c>
      <c r="S49" s="16">
        <v>0.69066373336089426</v>
      </c>
    </row>
    <row r="50" spans="4:19" x14ac:dyDescent="0.25">
      <c r="D50" s="38">
        <v>0.45030245623130571</v>
      </c>
      <c r="E50" s="4">
        <v>44</v>
      </c>
      <c r="F50" s="4">
        <f t="shared" si="6"/>
        <v>2</v>
      </c>
      <c r="G50" s="4">
        <f t="shared" si="7"/>
        <v>100</v>
      </c>
      <c r="H50" s="4">
        <f t="shared" si="9"/>
        <v>103</v>
      </c>
      <c r="I50" s="4">
        <f t="shared" si="10"/>
        <v>103</v>
      </c>
      <c r="J50" s="4" t="str">
        <f t="shared" si="8"/>
        <v>Server 1</v>
      </c>
      <c r="K50" s="4">
        <f t="shared" si="1"/>
        <v>5</v>
      </c>
      <c r="L50" s="4">
        <f t="shared" si="2"/>
        <v>103</v>
      </c>
      <c r="M50" s="7">
        <f t="shared" si="3"/>
        <v>108</v>
      </c>
      <c r="N50" s="7" t="str">
        <f t="shared" si="4"/>
        <v>-</v>
      </c>
      <c r="O50" s="4">
        <f t="shared" si="5"/>
        <v>3</v>
      </c>
      <c r="P50" s="4"/>
      <c r="Q50" s="4"/>
      <c r="R50" s="4">
        <f t="shared" si="11"/>
        <v>8</v>
      </c>
      <c r="S50" s="16">
        <v>0.97395095174713187</v>
      </c>
    </row>
    <row r="51" spans="4:19" x14ac:dyDescent="0.25">
      <c r="D51" s="38">
        <v>0.73363203424449908</v>
      </c>
      <c r="E51" s="4">
        <v>45</v>
      </c>
      <c r="F51" s="4">
        <f t="shared" si="6"/>
        <v>3</v>
      </c>
      <c r="G51" s="4">
        <f t="shared" si="7"/>
        <v>103</v>
      </c>
      <c r="H51" s="4">
        <f t="shared" si="9"/>
        <v>108</v>
      </c>
      <c r="I51" s="4">
        <f t="shared" si="10"/>
        <v>103</v>
      </c>
      <c r="J51" s="4" t="str">
        <f t="shared" si="8"/>
        <v>Server 2</v>
      </c>
      <c r="K51" s="4">
        <f t="shared" si="1"/>
        <v>5</v>
      </c>
      <c r="L51" s="4">
        <f t="shared" si="2"/>
        <v>103</v>
      </c>
      <c r="M51" s="7" t="str">
        <f t="shared" si="3"/>
        <v>-</v>
      </c>
      <c r="N51" s="7">
        <f t="shared" si="4"/>
        <v>108</v>
      </c>
      <c r="O51" s="4">
        <f t="shared" si="5"/>
        <v>0</v>
      </c>
      <c r="P51" s="4"/>
      <c r="Q51" s="4"/>
      <c r="R51" s="4">
        <f t="shared" si="11"/>
        <v>5</v>
      </c>
      <c r="S51" s="16">
        <v>0.7724042791989747</v>
      </c>
    </row>
    <row r="52" spans="4:19" x14ac:dyDescent="0.25">
      <c r="D52" s="38">
        <v>0.10215330301124914</v>
      </c>
      <c r="E52" s="4">
        <v>46</v>
      </c>
      <c r="F52" s="4">
        <f t="shared" si="6"/>
        <v>1</v>
      </c>
      <c r="G52" s="4">
        <f t="shared" si="7"/>
        <v>104</v>
      </c>
      <c r="H52" s="4">
        <f t="shared" si="9"/>
        <v>108</v>
      </c>
      <c r="I52" s="4">
        <f t="shared" si="10"/>
        <v>108</v>
      </c>
      <c r="J52" s="4" t="str">
        <f t="shared" si="8"/>
        <v>Server 1</v>
      </c>
      <c r="K52" s="4">
        <f t="shared" si="1"/>
        <v>4</v>
      </c>
      <c r="L52" s="4">
        <f t="shared" si="2"/>
        <v>108</v>
      </c>
      <c r="M52" s="7">
        <f t="shared" si="3"/>
        <v>112</v>
      </c>
      <c r="N52" s="7" t="str">
        <f t="shared" si="4"/>
        <v>-</v>
      </c>
      <c r="O52" s="4">
        <f t="shared" si="5"/>
        <v>4</v>
      </c>
      <c r="P52" s="4"/>
      <c r="Q52" s="4"/>
      <c r="R52" s="4">
        <f t="shared" si="11"/>
        <v>8</v>
      </c>
      <c r="S52" s="16">
        <v>0.63383491661434255</v>
      </c>
    </row>
    <row r="53" spans="4:19" x14ac:dyDescent="0.25">
      <c r="D53" s="38">
        <v>5.705710820662957E-3</v>
      </c>
      <c r="E53" s="4">
        <v>47</v>
      </c>
      <c r="F53" s="4">
        <f t="shared" si="6"/>
        <v>1</v>
      </c>
      <c r="G53" s="4">
        <f t="shared" si="7"/>
        <v>105</v>
      </c>
      <c r="H53" s="4">
        <f t="shared" si="9"/>
        <v>112</v>
      </c>
      <c r="I53" s="4">
        <f t="shared" si="10"/>
        <v>108</v>
      </c>
      <c r="J53" s="4" t="str">
        <f t="shared" si="8"/>
        <v>Server 2</v>
      </c>
      <c r="K53" s="4">
        <f t="shared" si="1"/>
        <v>3</v>
      </c>
      <c r="L53" s="4">
        <f t="shared" si="2"/>
        <v>108</v>
      </c>
      <c r="M53" s="7" t="str">
        <f t="shared" si="3"/>
        <v>-</v>
      </c>
      <c r="N53" s="7">
        <f t="shared" si="4"/>
        <v>111</v>
      </c>
      <c r="O53" s="4">
        <f t="shared" si="5"/>
        <v>3</v>
      </c>
      <c r="P53" s="4"/>
      <c r="Q53" s="4"/>
      <c r="R53" s="4">
        <f t="shared" si="11"/>
        <v>6</v>
      </c>
      <c r="S53" s="16">
        <v>0.24346741316931619</v>
      </c>
    </row>
    <row r="54" spans="4:19" x14ac:dyDescent="0.25">
      <c r="D54" s="38">
        <v>0.66314433694853026</v>
      </c>
      <c r="E54" s="4">
        <v>48</v>
      </c>
      <c r="F54" s="4">
        <f t="shared" si="6"/>
        <v>3</v>
      </c>
      <c r="G54" s="4">
        <f t="shared" si="7"/>
        <v>108</v>
      </c>
      <c r="H54" s="4">
        <f t="shared" si="9"/>
        <v>112</v>
      </c>
      <c r="I54" s="4">
        <f t="shared" si="10"/>
        <v>111</v>
      </c>
      <c r="J54" s="4" t="str">
        <f t="shared" si="8"/>
        <v>Server 2</v>
      </c>
      <c r="K54" s="4">
        <f t="shared" si="1"/>
        <v>3</v>
      </c>
      <c r="L54" s="4">
        <f t="shared" si="2"/>
        <v>111</v>
      </c>
      <c r="M54" s="7" t="str">
        <f t="shared" si="3"/>
        <v>-</v>
      </c>
      <c r="N54" s="7">
        <f t="shared" si="4"/>
        <v>114</v>
      </c>
      <c r="O54" s="4">
        <f t="shared" si="5"/>
        <v>3</v>
      </c>
      <c r="P54" s="4"/>
      <c r="Q54" s="4"/>
      <c r="R54" s="4">
        <f t="shared" si="11"/>
        <v>6</v>
      </c>
      <c r="S54" s="16">
        <v>0.32970028930810935</v>
      </c>
    </row>
    <row r="55" spans="4:19" x14ac:dyDescent="0.25">
      <c r="D55" s="38">
        <v>5.4662279926286694E-2</v>
      </c>
      <c r="E55" s="4">
        <v>49</v>
      </c>
      <c r="F55" s="4">
        <f t="shared" si="6"/>
        <v>1</v>
      </c>
      <c r="G55" s="4">
        <f t="shared" si="7"/>
        <v>109</v>
      </c>
      <c r="H55" s="4">
        <f t="shared" si="9"/>
        <v>112</v>
      </c>
      <c r="I55" s="4">
        <f t="shared" si="10"/>
        <v>114</v>
      </c>
      <c r="J55" s="4" t="str">
        <f t="shared" si="8"/>
        <v>Server 1</v>
      </c>
      <c r="K55" s="4">
        <f t="shared" si="1"/>
        <v>5</v>
      </c>
      <c r="L55" s="4">
        <f t="shared" si="2"/>
        <v>112</v>
      </c>
      <c r="M55" s="7">
        <f t="shared" si="3"/>
        <v>117</v>
      </c>
      <c r="N55" s="7" t="str">
        <f t="shared" si="4"/>
        <v>-</v>
      </c>
      <c r="O55" s="4">
        <f t="shared" si="5"/>
        <v>3</v>
      </c>
      <c r="P55" s="4"/>
      <c r="Q55" s="4"/>
      <c r="R55" s="4">
        <f t="shared" si="11"/>
        <v>8</v>
      </c>
      <c r="S55" s="16">
        <v>0.90277908535222284</v>
      </c>
    </row>
    <row r="56" spans="4:19" x14ac:dyDescent="0.25">
      <c r="D56" s="38">
        <v>0.34667864601706688</v>
      </c>
      <c r="E56" s="4">
        <v>50</v>
      </c>
      <c r="F56" s="4">
        <f t="shared" si="6"/>
        <v>2</v>
      </c>
      <c r="G56" s="4">
        <f t="shared" si="7"/>
        <v>111</v>
      </c>
      <c r="H56" s="4">
        <f t="shared" si="9"/>
        <v>117</v>
      </c>
      <c r="I56" s="4">
        <f t="shared" si="10"/>
        <v>114</v>
      </c>
      <c r="J56" s="4" t="str">
        <f t="shared" si="8"/>
        <v>Server 2</v>
      </c>
      <c r="K56" s="4">
        <f t="shared" si="1"/>
        <v>3</v>
      </c>
      <c r="L56" s="4">
        <f t="shared" si="2"/>
        <v>114</v>
      </c>
      <c r="M56" s="7" t="str">
        <f t="shared" si="3"/>
        <v>-</v>
      </c>
      <c r="N56" s="7">
        <f t="shared" si="4"/>
        <v>117</v>
      </c>
      <c r="O56" s="4">
        <f t="shared" si="5"/>
        <v>3</v>
      </c>
      <c r="P56" s="4"/>
      <c r="Q56" s="4"/>
      <c r="R56" s="4">
        <f t="shared" si="11"/>
        <v>6</v>
      </c>
      <c r="S56" s="16">
        <v>0.19821484241580156</v>
      </c>
    </row>
    <row r="57" spans="4:19" x14ac:dyDescent="0.25">
      <c r="D57" s="38">
        <v>0.72700112496185587</v>
      </c>
      <c r="E57" s="4">
        <v>51</v>
      </c>
      <c r="F57" s="4">
        <f t="shared" si="6"/>
        <v>3</v>
      </c>
      <c r="G57" s="4">
        <f t="shared" si="7"/>
        <v>114</v>
      </c>
      <c r="H57" s="4">
        <f t="shared" si="9"/>
        <v>117</v>
      </c>
      <c r="I57" s="4">
        <f t="shared" si="10"/>
        <v>117</v>
      </c>
      <c r="J57" s="4" t="str">
        <f t="shared" si="8"/>
        <v>Server 1</v>
      </c>
      <c r="K57" s="4">
        <f t="shared" si="1"/>
        <v>2</v>
      </c>
      <c r="L57" s="4">
        <f t="shared" si="2"/>
        <v>117</v>
      </c>
      <c r="M57" s="7">
        <f t="shared" si="3"/>
        <v>119</v>
      </c>
      <c r="N57" s="7" t="str">
        <f t="shared" si="4"/>
        <v>-</v>
      </c>
      <c r="O57" s="4">
        <f t="shared" si="5"/>
        <v>3</v>
      </c>
      <c r="P57" s="4"/>
      <c r="Q57" s="4"/>
      <c r="R57" s="4">
        <f t="shared" si="11"/>
        <v>5</v>
      </c>
      <c r="S57" s="16">
        <v>0.29421985547017127</v>
      </c>
    </row>
    <row r="58" spans="4:19" x14ac:dyDescent="0.25">
      <c r="D58" s="38">
        <v>0.62551968151427162</v>
      </c>
      <c r="E58" s="4">
        <v>52</v>
      </c>
      <c r="F58" s="4">
        <f t="shared" si="6"/>
        <v>2</v>
      </c>
      <c r="G58" s="4">
        <f t="shared" si="7"/>
        <v>116</v>
      </c>
      <c r="H58" s="4">
        <f t="shared" si="9"/>
        <v>119</v>
      </c>
      <c r="I58" s="4">
        <f t="shared" si="10"/>
        <v>117</v>
      </c>
      <c r="J58" s="4" t="str">
        <f t="shared" si="8"/>
        <v>Server 2</v>
      </c>
      <c r="K58" s="4">
        <f t="shared" si="1"/>
        <v>3</v>
      </c>
      <c r="L58" s="4">
        <f t="shared" si="2"/>
        <v>117</v>
      </c>
      <c r="M58" s="7" t="str">
        <f t="shared" si="3"/>
        <v>-</v>
      </c>
      <c r="N58" s="7">
        <f t="shared" si="4"/>
        <v>120</v>
      </c>
      <c r="O58" s="4">
        <f t="shared" si="5"/>
        <v>1</v>
      </c>
      <c r="P58" s="4"/>
      <c r="Q58" s="4"/>
      <c r="R58" s="4">
        <f t="shared" si="11"/>
        <v>4</v>
      </c>
      <c r="S58" s="16">
        <v>0.15596079850902134</v>
      </c>
    </row>
    <row r="59" spans="4:19" x14ac:dyDescent="0.25">
      <c r="D59" s="38">
        <v>2.7886788775624671E-2</v>
      </c>
      <c r="E59" s="4">
        <v>53</v>
      </c>
      <c r="F59" s="4">
        <f t="shared" si="6"/>
        <v>1</v>
      </c>
      <c r="G59" s="4">
        <f t="shared" si="7"/>
        <v>117</v>
      </c>
      <c r="H59" s="4">
        <f t="shared" si="9"/>
        <v>119</v>
      </c>
      <c r="I59" s="4">
        <f t="shared" si="10"/>
        <v>120</v>
      </c>
      <c r="J59" s="4" t="str">
        <f t="shared" si="8"/>
        <v>Server 1</v>
      </c>
      <c r="K59" s="4">
        <f t="shared" si="1"/>
        <v>3</v>
      </c>
      <c r="L59" s="4">
        <f t="shared" si="2"/>
        <v>119</v>
      </c>
      <c r="M59" s="7">
        <f t="shared" si="3"/>
        <v>122</v>
      </c>
      <c r="N59" s="7" t="str">
        <f t="shared" si="4"/>
        <v>-</v>
      </c>
      <c r="O59" s="4">
        <f t="shared" si="5"/>
        <v>2</v>
      </c>
      <c r="P59" s="4"/>
      <c r="Q59" s="4"/>
      <c r="R59" s="4">
        <f t="shared" si="11"/>
        <v>5</v>
      </c>
      <c r="S59" s="16">
        <v>0.39482859176591456</v>
      </c>
    </row>
    <row r="60" spans="4:19" x14ac:dyDescent="0.25">
      <c r="D60" s="38">
        <v>3.3256979984870316E-3</v>
      </c>
      <c r="E60" s="4">
        <v>54</v>
      </c>
      <c r="F60" s="4">
        <f t="shared" si="6"/>
        <v>1</v>
      </c>
      <c r="G60" s="4">
        <f t="shared" si="7"/>
        <v>118</v>
      </c>
      <c r="H60" s="4">
        <f t="shared" si="9"/>
        <v>122</v>
      </c>
      <c r="I60" s="4">
        <f t="shared" si="10"/>
        <v>120</v>
      </c>
      <c r="J60" s="4" t="str">
        <f t="shared" si="8"/>
        <v>Server 2</v>
      </c>
      <c r="K60" s="4">
        <f t="shared" si="1"/>
        <v>3</v>
      </c>
      <c r="L60" s="4">
        <f t="shared" si="2"/>
        <v>120</v>
      </c>
      <c r="M60" s="7" t="str">
        <f t="shared" si="3"/>
        <v>-</v>
      </c>
      <c r="N60" s="7">
        <f t="shared" si="4"/>
        <v>123</v>
      </c>
      <c r="O60" s="4">
        <f t="shared" si="5"/>
        <v>2</v>
      </c>
      <c r="P60" s="4"/>
      <c r="Q60" s="4"/>
      <c r="R60" s="4">
        <f t="shared" si="11"/>
        <v>5</v>
      </c>
      <c r="S60" s="16">
        <v>0.18248542820221625</v>
      </c>
    </row>
    <row r="61" spans="4:19" x14ac:dyDescent="0.25">
      <c r="D61" s="38">
        <v>0.29942418191931175</v>
      </c>
      <c r="E61" s="4">
        <v>55</v>
      </c>
      <c r="F61" s="4">
        <f t="shared" si="6"/>
        <v>2</v>
      </c>
      <c r="G61" s="4">
        <f t="shared" si="7"/>
        <v>120</v>
      </c>
      <c r="H61" s="4">
        <f t="shared" si="9"/>
        <v>122</v>
      </c>
      <c r="I61" s="4">
        <f t="shared" si="10"/>
        <v>123</v>
      </c>
      <c r="J61" s="4" t="str">
        <f t="shared" si="8"/>
        <v>Server 1</v>
      </c>
      <c r="K61" s="4">
        <f t="shared" si="1"/>
        <v>4</v>
      </c>
      <c r="L61" s="4">
        <f t="shared" si="2"/>
        <v>122</v>
      </c>
      <c r="M61" s="7">
        <f t="shared" si="3"/>
        <v>126</v>
      </c>
      <c r="N61" s="7" t="str">
        <f t="shared" si="4"/>
        <v>-</v>
      </c>
      <c r="O61" s="4">
        <f t="shared" si="5"/>
        <v>2</v>
      </c>
      <c r="P61" s="4"/>
      <c r="Q61" s="4"/>
      <c r="R61" s="4">
        <f t="shared" si="11"/>
        <v>6</v>
      </c>
      <c r="S61" s="16">
        <v>0.74848738443206819</v>
      </c>
    </row>
    <row r="62" spans="4:19" x14ac:dyDescent="0.25">
      <c r="D62" s="38">
        <v>0.90678933733614397</v>
      </c>
      <c r="E62" s="4">
        <v>56</v>
      </c>
      <c r="F62" s="4">
        <f t="shared" si="6"/>
        <v>4</v>
      </c>
      <c r="G62" s="4">
        <f t="shared" si="7"/>
        <v>124</v>
      </c>
      <c r="H62" s="4">
        <f t="shared" si="9"/>
        <v>126</v>
      </c>
      <c r="I62" s="4">
        <f t="shared" si="10"/>
        <v>123</v>
      </c>
      <c r="J62" s="4" t="str">
        <f t="shared" si="8"/>
        <v>Server 2</v>
      </c>
      <c r="K62" s="4">
        <f t="shared" si="1"/>
        <v>4</v>
      </c>
      <c r="L62" s="4">
        <f t="shared" si="2"/>
        <v>124</v>
      </c>
      <c r="M62" s="7" t="str">
        <f t="shared" si="3"/>
        <v>-</v>
      </c>
      <c r="N62" s="7">
        <f t="shared" si="4"/>
        <v>128</v>
      </c>
      <c r="O62" s="4">
        <f t="shared" si="5"/>
        <v>0</v>
      </c>
      <c r="P62" s="4"/>
      <c r="Q62" s="4"/>
      <c r="R62" s="4">
        <f t="shared" si="11"/>
        <v>4</v>
      </c>
      <c r="S62" s="16">
        <v>0.4419862839790748</v>
      </c>
    </row>
    <row r="63" spans="4:19" x14ac:dyDescent="0.25">
      <c r="D63" s="38">
        <v>0.54366186318941101</v>
      </c>
      <c r="E63" s="4">
        <v>57</v>
      </c>
      <c r="F63" s="4">
        <f t="shared" si="6"/>
        <v>2</v>
      </c>
      <c r="G63" s="4">
        <f t="shared" si="7"/>
        <v>126</v>
      </c>
      <c r="H63" s="4">
        <f t="shared" si="9"/>
        <v>126</v>
      </c>
      <c r="I63" s="4">
        <f t="shared" si="10"/>
        <v>128</v>
      </c>
      <c r="J63" s="4" t="str">
        <f t="shared" si="8"/>
        <v>Server 1</v>
      </c>
      <c r="K63" s="4">
        <f t="shared" si="1"/>
        <v>5</v>
      </c>
      <c r="L63" s="4">
        <f t="shared" si="2"/>
        <v>126</v>
      </c>
      <c r="M63" s="7">
        <f t="shared" si="3"/>
        <v>131</v>
      </c>
      <c r="N63" s="7" t="str">
        <f t="shared" si="4"/>
        <v>-</v>
      </c>
      <c r="O63" s="4">
        <f t="shared" si="5"/>
        <v>0</v>
      </c>
      <c r="P63" s="4"/>
      <c r="Q63" s="4"/>
      <c r="R63" s="4">
        <f t="shared" si="11"/>
        <v>5</v>
      </c>
      <c r="S63" s="16">
        <v>0.85650998494322461</v>
      </c>
    </row>
    <row r="64" spans="4:19" x14ac:dyDescent="0.25">
      <c r="D64" s="38">
        <v>0.79917495185613829</v>
      </c>
      <c r="E64" s="4">
        <v>58</v>
      </c>
      <c r="F64" s="4">
        <f t="shared" si="6"/>
        <v>3</v>
      </c>
      <c r="G64" s="4">
        <f t="shared" si="7"/>
        <v>129</v>
      </c>
      <c r="H64" s="4">
        <f t="shared" si="9"/>
        <v>131</v>
      </c>
      <c r="I64" s="4">
        <f t="shared" si="10"/>
        <v>128</v>
      </c>
      <c r="J64" s="4" t="str">
        <f t="shared" si="8"/>
        <v>Server 2</v>
      </c>
      <c r="K64" s="4">
        <f t="shared" si="1"/>
        <v>3</v>
      </c>
      <c r="L64" s="4">
        <f t="shared" si="2"/>
        <v>129</v>
      </c>
      <c r="M64" s="7" t="str">
        <f t="shared" si="3"/>
        <v>-</v>
      </c>
      <c r="N64" s="7">
        <f t="shared" si="4"/>
        <v>132</v>
      </c>
      <c r="O64" s="4">
        <f t="shared" si="5"/>
        <v>0</v>
      </c>
      <c r="P64" s="4"/>
      <c r="Q64" s="4"/>
      <c r="R64" s="4">
        <f t="shared" si="11"/>
        <v>3</v>
      </c>
      <c r="S64" s="16">
        <v>0.17205928047227048</v>
      </c>
    </row>
    <row r="65" spans="4:19" x14ac:dyDescent="0.25">
      <c r="D65" s="38">
        <v>0.61558892492909068</v>
      </c>
      <c r="E65" s="4">
        <v>59</v>
      </c>
      <c r="F65" s="4">
        <f t="shared" si="6"/>
        <v>2</v>
      </c>
      <c r="G65" s="4">
        <f t="shared" si="7"/>
        <v>131</v>
      </c>
      <c r="H65" s="4">
        <f t="shared" si="9"/>
        <v>131</v>
      </c>
      <c r="I65" s="4">
        <f t="shared" si="10"/>
        <v>132</v>
      </c>
      <c r="J65" s="4" t="str">
        <f t="shared" si="8"/>
        <v>Server 1</v>
      </c>
      <c r="K65" s="4">
        <f t="shared" si="1"/>
        <v>3</v>
      </c>
      <c r="L65" s="4">
        <f t="shared" si="2"/>
        <v>131</v>
      </c>
      <c r="M65" s="7">
        <f t="shared" si="3"/>
        <v>134</v>
      </c>
      <c r="N65" s="7" t="str">
        <f t="shared" si="4"/>
        <v>-</v>
      </c>
      <c r="O65" s="4">
        <f t="shared" si="5"/>
        <v>0</v>
      </c>
      <c r="P65" s="4"/>
      <c r="Q65" s="4"/>
      <c r="R65" s="4">
        <f t="shared" si="11"/>
        <v>3</v>
      </c>
      <c r="S65" s="16">
        <v>0.41275674653249261</v>
      </c>
    </row>
    <row r="66" spans="4:19" x14ac:dyDescent="0.25">
      <c r="D66" s="38">
        <v>0.15610308389611305</v>
      </c>
      <c r="E66" s="4">
        <v>60</v>
      </c>
      <c r="F66" s="4">
        <f t="shared" si="6"/>
        <v>1</v>
      </c>
      <c r="G66" s="4">
        <f t="shared" si="7"/>
        <v>132</v>
      </c>
      <c r="H66" s="4">
        <f t="shared" si="9"/>
        <v>134</v>
      </c>
      <c r="I66" s="4">
        <f t="shared" si="10"/>
        <v>132</v>
      </c>
      <c r="J66" s="4" t="str">
        <f t="shared" si="8"/>
        <v>Server 2</v>
      </c>
      <c r="K66" s="4">
        <f t="shared" si="1"/>
        <v>3</v>
      </c>
      <c r="L66" s="4">
        <f t="shared" si="2"/>
        <v>132</v>
      </c>
      <c r="M66" s="7" t="str">
        <f t="shared" si="3"/>
        <v>-</v>
      </c>
      <c r="N66" s="7">
        <f t="shared" si="4"/>
        <v>135</v>
      </c>
      <c r="O66" s="4">
        <f t="shared" si="5"/>
        <v>0</v>
      </c>
      <c r="P66" s="4"/>
      <c r="Q66" s="4"/>
      <c r="R66" s="4">
        <f t="shared" si="11"/>
        <v>3</v>
      </c>
      <c r="S66" s="16">
        <v>0.16797665316118837</v>
      </c>
    </row>
    <row r="67" spans="4:19" x14ac:dyDescent="0.25">
      <c r="D67" s="38">
        <v>0.5994022262108637</v>
      </c>
      <c r="E67" s="4">
        <v>61</v>
      </c>
      <c r="F67" s="4">
        <f t="shared" si="6"/>
        <v>2</v>
      </c>
      <c r="G67" s="4">
        <f t="shared" si="7"/>
        <v>134</v>
      </c>
      <c r="H67" s="4">
        <f t="shared" si="9"/>
        <v>134</v>
      </c>
      <c r="I67" s="4">
        <f t="shared" si="10"/>
        <v>135</v>
      </c>
      <c r="J67" s="4" t="str">
        <f t="shared" si="8"/>
        <v>Server 1</v>
      </c>
      <c r="K67" s="4">
        <f t="shared" si="1"/>
        <v>5</v>
      </c>
      <c r="L67" s="4">
        <f t="shared" si="2"/>
        <v>134</v>
      </c>
      <c r="M67" s="7">
        <f t="shared" si="3"/>
        <v>139</v>
      </c>
      <c r="N67" s="7" t="str">
        <f t="shared" si="4"/>
        <v>-</v>
      </c>
      <c r="O67" s="4">
        <f t="shared" si="5"/>
        <v>0</v>
      </c>
      <c r="P67" s="4"/>
      <c r="Q67" s="4"/>
      <c r="R67" s="4">
        <f t="shared" si="11"/>
        <v>5</v>
      </c>
      <c r="S67" s="16">
        <v>0.86954861863179123</v>
      </c>
    </row>
    <row r="68" spans="4:19" x14ac:dyDescent="0.25">
      <c r="D68" s="38">
        <v>0.22007570233120299</v>
      </c>
      <c r="E68" s="4">
        <v>62</v>
      </c>
      <c r="F68" s="4">
        <f t="shared" si="6"/>
        <v>1</v>
      </c>
      <c r="G68" s="4">
        <f t="shared" si="7"/>
        <v>135</v>
      </c>
      <c r="H68" s="4">
        <f t="shared" si="9"/>
        <v>139</v>
      </c>
      <c r="I68" s="4">
        <f t="shared" si="10"/>
        <v>135</v>
      </c>
      <c r="J68" s="4" t="str">
        <f t="shared" si="8"/>
        <v>Server 2</v>
      </c>
      <c r="K68" s="4">
        <f t="shared" si="1"/>
        <v>3</v>
      </c>
      <c r="L68" s="4">
        <f t="shared" si="2"/>
        <v>135</v>
      </c>
      <c r="M68" s="7" t="str">
        <f t="shared" si="3"/>
        <v>-</v>
      </c>
      <c r="N68" s="7">
        <f t="shared" si="4"/>
        <v>138</v>
      </c>
      <c r="O68" s="4">
        <f t="shared" si="5"/>
        <v>0</v>
      </c>
      <c r="P68" s="4"/>
      <c r="Q68" s="4"/>
      <c r="R68" s="4">
        <f t="shared" si="11"/>
        <v>3</v>
      </c>
      <c r="S68" s="16">
        <v>0.30499083393139159</v>
      </c>
    </row>
    <row r="69" spans="4:19" x14ac:dyDescent="0.25">
      <c r="D69" s="38">
        <v>0.31153164447346793</v>
      </c>
      <c r="E69" s="4">
        <v>63</v>
      </c>
      <c r="F69" s="4">
        <f t="shared" si="6"/>
        <v>2</v>
      </c>
      <c r="G69" s="4">
        <f t="shared" si="7"/>
        <v>137</v>
      </c>
      <c r="H69" s="4">
        <f t="shared" si="9"/>
        <v>139</v>
      </c>
      <c r="I69" s="4">
        <f t="shared" si="10"/>
        <v>138</v>
      </c>
      <c r="J69" s="4" t="str">
        <f t="shared" si="8"/>
        <v>Server 2</v>
      </c>
      <c r="K69" s="4">
        <f t="shared" si="1"/>
        <v>4</v>
      </c>
      <c r="L69" s="4">
        <f t="shared" si="2"/>
        <v>138</v>
      </c>
      <c r="M69" s="7" t="str">
        <f t="shared" si="3"/>
        <v>-</v>
      </c>
      <c r="N69" s="7">
        <f t="shared" si="4"/>
        <v>142</v>
      </c>
      <c r="O69" s="4">
        <f t="shared" si="5"/>
        <v>1</v>
      </c>
      <c r="P69" s="4"/>
      <c r="Q69" s="4"/>
      <c r="R69" s="4">
        <f t="shared" si="11"/>
        <v>5</v>
      </c>
      <c r="S69" s="16">
        <v>0.59591481447441907</v>
      </c>
    </row>
    <row r="70" spans="4:19" x14ac:dyDescent="0.25">
      <c r="D70" s="38">
        <v>0.65419476143581456</v>
      </c>
      <c r="E70" s="4">
        <v>64</v>
      </c>
      <c r="F70" s="4">
        <f t="shared" si="6"/>
        <v>3</v>
      </c>
      <c r="G70" s="4">
        <f t="shared" si="7"/>
        <v>140</v>
      </c>
      <c r="H70" s="4">
        <f t="shared" si="9"/>
        <v>139</v>
      </c>
      <c r="I70" s="4">
        <f t="shared" si="10"/>
        <v>142</v>
      </c>
      <c r="J70" s="4" t="str">
        <f t="shared" si="8"/>
        <v>Server 1</v>
      </c>
      <c r="K70" s="4">
        <f t="shared" si="1"/>
        <v>5</v>
      </c>
      <c r="L70" s="4">
        <f t="shared" si="2"/>
        <v>140</v>
      </c>
      <c r="M70" s="7">
        <f t="shared" si="3"/>
        <v>145</v>
      </c>
      <c r="N70" s="7" t="str">
        <f t="shared" si="4"/>
        <v>-</v>
      </c>
      <c r="O70" s="4">
        <f t="shared" si="5"/>
        <v>0</v>
      </c>
      <c r="P70" s="4"/>
      <c r="Q70" s="4"/>
      <c r="R70" s="4">
        <f t="shared" si="11"/>
        <v>5</v>
      </c>
      <c r="S70" s="16">
        <v>0.87661776304011918</v>
      </c>
    </row>
    <row r="71" spans="4:19" x14ac:dyDescent="0.25">
      <c r="D71" s="38">
        <v>0.60992669895081242</v>
      </c>
      <c r="E71" s="4">
        <v>65</v>
      </c>
      <c r="F71" s="4">
        <f t="shared" si="6"/>
        <v>2</v>
      </c>
      <c r="G71" s="4">
        <f t="shared" si="7"/>
        <v>142</v>
      </c>
      <c r="H71" s="4">
        <f t="shared" si="9"/>
        <v>145</v>
      </c>
      <c r="I71" s="4">
        <f t="shared" si="10"/>
        <v>142</v>
      </c>
      <c r="J71" s="4" t="str">
        <f t="shared" si="8"/>
        <v>Server 2</v>
      </c>
      <c r="K71" s="4">
        <f t="shared" si="1"/>
        <v>5</v>
      </c>
      <c r="L71" s="4">
        <f t="shared" si="2"/>
        <v>142</v>
      </c>
      <c r="M71" s="7" t="str">
        <f t="shared" si="3"/>
        <v>-</v>
      </c>
      <c r="N71" s="7">
        <f t="shared" si="4"/>
        <v>147</v>
      </c>
      <c r="O71" s="4">
        <f t="shared" si="5"/>
        <v>0</v>
      </c>
      <c r="P71" s="4"/>
      <c r="Q71" s="4"/>
      <c r="R71" s="4">
        <f t="shared" si="11"/>
        <v>5</v>
      </c>
      <c r="S71" s="16">
        <v>0.68621469958312387</v>
      </c>
    </row>
    <row r="72" spans="4:19" x14ac:dyDescent="0.25">
      <c r="D72" s="38">
        <v>0.83668873562465973</v>
      </c>
      <c r="E72" s="4">
        <v>66</v>
      </c>
      <c r="F72" s="4">
        <f t="shared" si="6"/>
        <v>3</v>
      </c>
      <c r="G72" s="4">
        <f t="shared" si="7"/>
        <v>145</v>
      </c>
      <c r="H72" s="4">
        <f t="shared" si="9"/>
        <v>145</v>
      </c>
      <c r="I72" s="4">
        <f t="shared" si="10"/>
        <v>147</v>
      </c>
      <c r="J72" s="4" t="str">
        <f t="shared" ref="J72:J106" si="13">ChoseServer(H72,I72,G72)</f>
        <v>Server 1</v>
      </c>
      <c r="K72" s="4">
        <f t="shared" ref="K72:K135" si="14">ServiceTime2(J72,S72)</f>
        <v>5</v>
      </c>
      <c r="L72" s="4">
        <f t="shared" ref="L72:L135" si="15">MAX(HLOOKUP(J72,$H$6:$I$999,E72+1,FALSE),G72)</f>
        <v>145</v>
      </c>
      <c r="M72" s="7">
        <f t="shared" ref="M72:M135" si="16">IF(J72="Server 1",K72+MAX(H72,G72),"-")</f>
        <v>150</v>
      </c>
      <c r="N72" s="7" t="str">
        <f t="shared" ref="N72:N135" si="17">IF(J72="Server 2",K72+MAX(I72,G72),"-")</f>
        <v>-</v>
      </c>
      <c r="O72" s="4">
        <f t="shared" ref="O72:O106" si="18">L72-G72</f>
        <v>0</v>
      </c>
      <c r="P72" s="4"/>
      <c r="Q72" s="4"/>
      <c r="R72" s="4">
        <f t="shared" ref="R72:R106" si="19">O72+K72</f>
        <v>5</v>
      </c>
      <c r="S72" s="16">
        <v>0.94332771388234582</v>
      </c>
    </row>
    <row r="73" spans="4:19" x14ac:dyDescent="0.25">
      <c r="D73" s="38">
        <v>0.30913982047343691</v>
      </c>
      <c r="E73" s="4">
        <v>67</v>
      </c>
      <c r="F73" s="4">
        <f t="shared" ref="F73:F136" si="20">InterArivalTime(D73)</f>
        <v>2</v>
      </c>
      <c r="G73" s="4">
        <f t="shared" ref="G73:G106" si="21">G72+F73</f>
        <v>147</v>
      </c>
      <c r="H73" s="4">
        <f t="shared" si="9"/>
        <v>150</v>
      </c>
      <c r="I73" s="4">
        <f t="shared" si="10"/>
        <v>147</v>
      </c>
      <c r="J73" s="4" t="str">
        <f t="shared" si="13"/>
        <v>Server 2</v>
      </c>
      <c r="K73" s="4">
        <f t="shared" si="14"/>
        <v>5</v>
      </c>
      <c r="L73" s="4">
        <f t="shared" si="15"/>
        <v>147</v>
      </c>
      <c r="M73" s="7" t="str">
        <f t="shared" si="16"/>
        <v>-</v>
      </c>
      <c r="N73" s="7">
        <f t="shared" si="17"/>
        <v>152</v>
      </c>
      <c r="O73" s="4">
        <f t="shared" si="18"/>
        <v>0</v>
      </c>
      <c r="P73" s="4"/>
      <c r="Q73" s="4"/>
      <c r="R73" s="4">
        <f t="shared" si="19"/>
        <v>5</v>
      </c>
      <c r="S73" s="16">
        <v>0.63540233362774268</v>
      </c>
    </row>
    <row r="74" spans="4:19" x14ac:dyDescent="0.25">
      <c r="D74" s="38">
        <v>0.69568338395450779</v>
      </c>
      <c r="E74" s="4">
        <v>68</v>
      </c>
      <c r="F74" s="4">
        <f t="shared" si="20"/>
        <v>3</v>
      </c>
      <c r="G74" s="4">
        <f t="shared" si="21"/>
        <v>150</v>
      </c>
      <c r="H74" s="4">
        <f t="shared" ref="H74:H137" si="22">ServerAvailable1(H73,I73,G73,K73)</f>
        <v>150</v>
      </c>
      <c r="I74" s="4">
        <f t="shared" ref="I74:I137" si="23">ServerAvailable2(I73,H73,G73,K73)</f>
        <v>152</v>
      </c>
      <c r="J74" s="4" t="str">
        <f t="shared" si="13"/>
        <v>Server 1</v>
      </c>
      <c r="K74" s="4">
        <f t="shared" si="14"/>
        <v>4</v>
      </c>
      <c r="L74" s="4">
        <f t="shared" si="15"/>
        <v>150</v>
      </c>
      <c r="M74" s="7">
        <f t="shared" si="16"/>
        <v>154</v>
      </c>
      <c r="N74" s="7" t="str">
        <f t="shared" si="17"/>
        <v>-</v>
      </c>
      <c r="O74" s="4">
        <f t="shared" si="18"/>
        <v>0</v>
      </c>
      <c r="P74" s="4"/>
      <c r="Q74" s="4"/>
      <c r="R74" s="4">
        <f t="shared" si="19"/>
        <v>4</v>
      </c>
      <c r="S74" s="16">
        <v>0.66793301562509511</v>
      </c>
    </row>
    <row r="75" spans="4:19" x14ac:dyDescent="0.25">
      <c r="D75" s="38">
        <v>0.98304124900906686</v>
      </c>
      <c r="E75" s="4">
        <v>69</v>
      </c>
      <c r="F75" s="4">
        <f t="shared" si="20"/>
        <v>4</v>
      </c>
      <c r="G75" s="4">
        <f t="shared" si="21"/>
        <v>154</v>
      </c>
      <c r="H75" s="4">
        <f t="shared" si="22"/>
        <v>154</v>
      </c>
      <c r="I75" s="4">
        <f t="shared" si="23"/>
        <v>152</v>
      </c>
      <c r="J75" s="4" t="str">
        <f t="shared" si="13"/>
        <v>Server 1</v>
      </c>
      <c r="K75" s="4">
        <f t="shared" si="14"/>
        <v>2</v>
      </c>
      <c r="L75" s="4">
        <f t="shared" si="15"/>
        <v>154</v>
      </c>
      <c r="M75" s="7">
        <f t="shared" si="16"/>
        <v>156</v>
      </c>
      <c r="N75" s="7" t="str">
        <f t="shared" si="17"/>
        <v>-</v>
      </c>
      <c r="O75" s="4">
        <f t="shared" si="18"/>
        <v>0</v>
      </c>
      <c r="P75" s="4"/>
      <c r="Q75" s="4"/>
      <c r="R75" s="4">
        <f t="shared" si="19"/>
        <v>2</v>
      </c>
      <c r="S75" s="16">
        <v>9.3106661651253364E-2</v>
      </c>
    </row>
    <row r="76" spans="4:19" x14ac:dyDescent="0.25">
      <c r="D76" s="38">
        <v>0.47946657709345708</v>
      </c>
      <c r="E76" s="4">
        <v>70</v>
      </c>
      <c r="F76" s="4">
        <f t="shared" si="20"/>
        <v>2</v>
      </c>
      <c r="G76" s="4">
        <f t="shared" si="21"/>
        <v>156</v>
      </c>
      <c r="H76" s="4">
        <f t="shared" si="22"/>
        <v>156</v>
      </c>
      <c r="I76" s="4">
        <f t="shared" si="23"/>
        <v>152</v>
      </c>
      <c r="J76" s="4" t="str">
        <f t="shared" si="13"/>
        <v>Server 1</v>
      </c>
      <c r="K76" s="4">
        <f t="shared" si="14"/>
        <v>4</v>
      </c>
      <c r="L76" s="4">
        <f t="shared" si="15"/>
        <v>156</v>
      </c>
      <c r="M76" s="7">
        <f t="shared" si="16"/>
        <v>160</v>
      </c>
      <c r="N76" s="7" t="str">
        <f t="shared" si="17"/>
        <v>-</v>
      </c>
      <c r="O76" s="4">
        <f t="shared" si="18"/>
        <v>0</v>
      </c>
      <c r="P76" s="4"/>
      <c r="Q76" s="4"/>
      <c r="R76" s="4">
        <f t="shared" si="19"/>
        <v>4</v>
      </c>
      <c r="S76" s="16">
        <v>0.78717888821781712</v>
      </c>
    </row>
    <row r="77" spans="4:19" x14ac:dyDescent="0.25">
      <c r="D77" s="38">
        <v>0.90049364442608837</v>
      </c>
      <c r="E77" s="4">
        <v>71</v>
      </c>
      <c r="F77" s="4">
        <f t="shared" si="20"/>
        <v>4</v>
      </c>
      <c r="G77" s="4">
        <f t="shared" si="21"/>
        <v>160</v>
      </c>
      <c r="H77" s="4">
        <f t="shared" si="22"/>
        <v>160</v>
      </c>
      <c r="I77" s="4">
        <f t="shared" si="23"/>
        <v>152</v>
      </c>
      <c r="J77" s="4" t="str">
        <f t="shared" si="13"/>
        <v>Server 1</v>
      </c>
      <c r="K77" s="4">
        <f t="shared" si="14"/>
        <v>5</v>
      </c>
      <c r="L77" s="4">
        <f t="shared" si="15"/>
        <v>160</v>
      </c>
      <c r="M77" s="7">
        <f t="shared" si="16"/>
        <v>165</v>
      </c>
      <c r="N77" s="7" t="str">
        <f t="shared" si="17"/>
        <v>-</v>
      </c>
      <c r="O77" s="4">
        <f t="shared" si="18"/>
        <v>0</v>
      </c>
      <c r="P77" s="4"/>
      <c r="Q77" s="4"/>
      <c r="R77" s="4">
        <f t="shared" si="19"/>
        <v>5</v>
      </c>
      <c r="S77" s="16">
        <v>0.99619961218071462</v>
      </c>
    </row>
    <row r="78" spans="4:19" x14ac:dyDescent="0.25">
      <c r="D78" s="38">
        <v>0.70730980002713884</v>
      </c>
      <c r="E78" s="4">
        <v>72</v>
      </c>
      <c r="F78" s="4">
        <f t="shared" si="20"/>
        <v>3</v>
      </c>
      <c r="G78" s="4">
        <f t="shared" si="21"/>
        <v>163</v>
      </c>
      <c r="H78" s="4">
        <f t="shared" si="22"/>
        <v>165</v>
      </c>
      <c r="I78" s="4">
        <f t="shared" si="23"/>
        <v>152</v>
      </c>
      <c r="J78" s="4" t="str">
        <f t="shared" si="13"/>
        <v>Server 2</v>
      </c>
      <c r="K78" s="4">
        <f t="shared" si="14"/>
        <v>3</v>
      </c>
      <c r="L78" s="4">
        <f t="shared" si="15"/>
        <v>163</v>
      </c>
      <c r="M78" s="7" t="str">
        <f t="shared" si="16"/>
        <v>-</v>
      </c>
      <c r="N78" s="7">
        <f t="shared" si="17"/>
        <v>166</v>
      </c>
      <c r="O78" s="4">
        <f t="shared" si="18"/>
        <v>0</v>
      </c>
      <c r="P78" s="4"/>
      <c r="Q78" s="4"/>
      <c r="R78" s="4">
        <f t="shared" si="19"/>
        <v>3</v>
      </c>
      <c r="S78" s="16">
        <v>0.14665359561910996</v>
      </c>
    </row>
    <row r="79" spans="4:19" x14ac:dyDescent="0.25">
      <c r="D79" s="38">
        <v>0.76849667399720234</v>
      </c>
      <c r="E79" s="4">
        <v>73</v>
      </c>
      <c r="F79" s="4">
        <f t="shared" si="20"/>
        <v>3</v>
      </c>
      <c r="G79" s="4">
        <f t="shared" si="21"/>
        <v>166</v>
      </c>
      <c r="H79" s="4">
        <f t="shared" si="22"/>
        <v>165</v>
      </c>
      <c r="I79" s="4">
        <f t="shared" si="23"/>
        <v>166</v>
      </c>
      <c r="J79" s="4" t="str">
        <f t="shared" si="13"/>
        <v>Server 1</v>
      </c>
      <c r="K79" s="4">
        <f t="shared" si="14"/>
        <v>3</v>
      </c>
      <c r="L79" s="4">
        <f t="shared" si="15"/>
        <v>166</v>
      </c>
      <c r="M79" s="7">
        <f t="shared" si="16"/>
        <v>169</v>
      </c>
      <c r="N79" s="7" t="str">
        <f t="shared" si="17"/>
        <v>-</v>
      </c>
      <c r="O79" s="4">
        <f t="shared" si="18"/>
        <v>0</v>
      </c>
      <c r="P79" s="4"/>
      <c r="Q79" s="4"/>
      <c r="R79" s="4">
        <f t="shared" si="19"/>
        <v>3</v>
      </c>
      <c r="S79" s="16">
        <v>0.35664230854931323</v>
      </c>
    </row>
    <row r="80" spans="4:19" x14ac:dyDescent="0.25">
      <c r="D80" s="38">
        <v>0.39664678029154388</v>
      </c>
      <c r="E80" s="4">
        <v>74</v>
      </c>
      <c r="F80" s="4">
        <f t="shared" si="20"/>
        <v>2</v>
      </c>
      <c r="G80" s="4">
        <f t="shared" si="21"/>
        <v>168</v>
      </c>
      <c r="H80" s="4">
        <f t="shared" si="22"/>
        <v>169</v>
      </c>
      <c r="I80" s="4">
        <f t="shared" si="23"/>
        <v>166</v>
      </c>
      <c r="J80" s="4" t="str">
        <f t="shared" si="13"/>
        <v>Server 2</v>
      </c>
      <c r="K80" s="4">
        <f t="shared" si="14"/>
        <v>4</v>
      </c>
      <c r="L80" s="4">
        <f t="shared" si="15"/>
        <v>168</v>
      </c>
      <c r="M80" s="7" t="str">
        <f t="shared" si="16"/>
        <v>-</v>
      </c>
      <c r="N80" s="7">
        <f t="shared" si="17"/>
        <v>172</v>
      </c>
      <c r="O80" s="4">
        <f t="shared" si="18"/>
        <v>0</v>
      </c>
      <c r="P80" s="4"/>
      <c r="Q80" s="4"/>
      <c r="R80" s="4">
        <f t="shared" si="19"/>
        <v>4</v>
      </c>
      <c r="S80" s="16">
        <v>0.52241024797042346</v>
      </c>
    </row>
    <row r="81" spans="4:19" x14ac:dyDescent="0.25">
      <c r="D81" s="38">
        <v>0.16822823052845104</v>
      </c>
      <c r="E81" s="4">
        <v>75</v>
      </c>
      <c r="F81" s="4">
        <f t="shared" si="20"/>
        <v>1</v>
      </c>
      <c r="G81" s="4">
        <f t="shared" si="21"/>
        <v>169</v>
      </c>
      <c r="H81" s="4">
        <f t="shared" si="22"/>
        <v>169</v>
      </c>
      <c r="I81" s="4">
        <f t="shared" si="23"/>
        <v>172</v>
      </c>
      <c r="J81" s="4" t="str">
        <f t="shared" si="13"/>
        <v>Server 1</v>
      </c>
      <c r="K81" s="4">
        <f t="shared" si="14"/>
        <v>3</v>
      </c>
      <c r="L81" s="4">
        <f t="shared" si="15"/>
        <v>169</v>
      </c>
      <c r="M81" s="7">
        <f t="shared" si="16"/>
        <v>172</v>
      </c>
      <c r="N81" s="7" t="str">
        <f t="shared" si="17"/>
        <v>-</v>
      </c>
      <c r="O81" s="4">
        <f t="shared" si="18"/>
        <v>0</v>
      </c>
      <c r="P81" s="4"/>
      <c r="Q81" s="4"/>
      <c r="R81" s="4">
        <f t="shared" si="19"/>
        <v>3</v>
      </c>
      <c r="S81" s="16">
        <v>0.54889798460661365</v>
      </c>
    </row>
    <row r="82" spans="4:19" x14ac:dyDescent="0.25">
      <c r="D82" s="38">
        <v>0.17482724285778994</v>
      </c>
      <c r="E82" s="4">
        <v>76</v>
      </c>
      <c r="F82" s="4">
        <f t="shared" si="20"/>
        <v>1</v>
      </c>
      <c r="G82" s="4">
        <f t="shared" si="21"/>
        <v>170</v>
      </c>
      <c r="H82" s="4">
        <f t="shared" si="22"/>
        <v>172</v>
      </c>
      <c r="I82" s="4">
        <f t="shared" si="23"/>
        <v>172</v>
      </c>
      <c r="J82" s="4" t="str">
        <f t="shared" si="13"/>
        <v>Server 1</v>
      </c>
      <c r="K82" s="4">
        <f t="shared" si="14"/>
        <v>4</v>
      </c>
      <c r="L82" s="4">
        <f t="shared" si="15"/>
        <v>172</v>
      </c>
      <c r="M82" s="7">
        <f t="shared" si="16"/>
        <v>176</v>
      </c>
      <c r="N82" s="7" t="str">
        <f t="shared" si="17"/>
        <v>-</v>
      </c>
      <c r="O82" s="4">
        <f t="shared" si="18"/>
        <v>2</v>
      </c>
      <c r="P82" s="4"/>
      <c r="Q82" s="4"/>
      <c r="R82" s="4">
        <f t="shared" si="19"/>
        <v>6</v>
      </c>
      <c r="S82" s="16">
        <v>0.63562787747497518</v>
      </c>
    </row>
    <row r="83" spans="4:19" x14ac:dyDescent="0.25">
      <c r="D83" s="38">
        <v>0.89497812824565126</v>
      </c>
      <c r="E83" s="4">
        <v>77</v>
      </c>
      <c r="F83" s="4">
        <f t="shared" si="20"/>
        <v>4</v>
      </c>
      <c r="G83" s="4">
        <f t="shared" si="21"/>
        <v>174</v>
      </c>
      <c r="H83" s="4">
        <f t="shared" si="22"/>
        <v>176</v>
      </c>
      <c r="I83" s="4">
        <f t="shared" si="23"/>
        <v>172</v>
      </c>
      <c r="J83" s="4" t="str">
        <f t="shared" si="13"/>
        <v>Server 2</v>
      </c>
      <c r="K83" s="4">
        <f t="shared" si="14"/>
        <v>5</v>
      </c>
      <c r="L83" s="4">
        <f t="shared" si="15"/>
        <v>174</v>
      </c>
      <c r="M83" s="7" t="str">
        <f t="shared" si="16"/>
        <v>-</v>
      </c>
      <c r="N83" s="7">
        <f t="shared" si="17"/>
        <v>179</v>
      </c>
      <c r="O83" s="4">
        <f t="shared" si="18"/>
        <v>0</v>
      </c>
      <c r="P83" s="4"/>
      <c r="Q83" s="4"/>
      <c r="R83" s="4">
        <f t="shared" si="19"/>
        <v>5</v>
      </c>
      <c r="S83" s="16">
        <v>0.76926622135173883</v>
      </c>
    </row>
    <row r="84" spans="4:19" x14ac:dyDescent="0.25">
      <c r="D84" s="38">
        <v>0.58724217197838458</v>
      </c>
      <c r="E84" s="4">
        <v>78</v>
      </c>
      <c r="F84" s="4">
        <f t="shared" si="20"/>
        <v>2</v>
      </c>
      <c r="G84" s="4">
        <f t="shared" si="21"/>
        <v>176</v>
      </c>
      <c r="H84" s="4">
        <f t="shared" si="22"/>
        <v>176</v>
      </c>
      <c r="I84" s="4">
        <f t="shared" si="23"/>
        <v>179</v>
      </c>
      <c r="J84" s="4" t="str">
        <f t="shared" si="13"/>
        <v>Server 1</v>
      </c>
      <c r="K84" s="4">
        <f t="shared" si="14"/>
        <v>4</v>
      </c>
      <c r="L84" s="4">
        <f t="shared" si="15"/>
        <v>176</v>
      </c>
      <c r="M84" s="7">
        <f t="shared" si="16"/>
        <v>180</v>
      </c>
      <c r="N84" s="7" t="str">
        <f t="shared" si="17"/>
        <v>-</v>
      </c>
      <c r="O84" s="4">
        <f t="shared" si="18"/>
        <v>0</v>
      </c>
      <c r="P84" s="4"/>
      <c r="Q84" s="4"/>
      <c r="R84" s="4">
        <f t="shared" si="19"/>
        <v>4</v>
      </c>
      <c r="S84" s="16">
        <v>0.62817097132696642</v>
      </c>
    </row>
    <row r="85" spans="4:19" x14ac:dyDescent="0.25">
      <c r="D85" s="38">
        <v>0.80442966199312205</v>
      </c>
      <c r="E85" s="4">
        <v>79</v>
      </c>
      <c r="F85" s="4">
        <f t="shared" si="20"/>
        <v>3</v>
      </c>
      <c r="G85" s="4">
        <f t="shared" si="21"/>
        <v>179</v>
      </c>
      <c r="H85" s="4">
        <f t="shared" si="22"/>
        <v>180</v>
      </c>
      <c r="I85" s="4">
        <f t="shared" si="23"/>
        <v>179</v>
      </c>
      <c r="J85" s="4" t="str">
        <f t="shared" si="13"/>
        <v>Server 2</v>
      </c>
      <c r="K85" s="4">
        <f t="shared" si="14"/>
        <v>5</v>
      </c>
      <c r="L85" s="4">
        <f t="shared" si="15"/>
        <v>179</v>
      </c>
      <c r="M85" s="7" t="str">
        <f t="shared" si="16"/>
        <v>-</v>
      </c>
      <c r="N85" s="7">
        <f t="shared" si="17"/>
        <v>184</v>
      </c>
      <c r="O85" s="4">
        <f t="shared" si="18"/>
        <v>0</v>
      </c>
      <c r="P85" s="4"/>
      <c r="Q85" s="4"/>
      <c r="R85" s="4">
        <f t="shared" si="19"/>
        <v>5</v>
      </c>
      <c r="S85" s="16">
        <v>0.68095603318918263</v>
      </c>
    </row>
    <row r="86" spans="4:19" x14ac:dyDescent="0.25">
      <c r="D86" s="38">
        <v>0.58297919019696975</v>
      </c>
      <c r="E86" s="4">
        <v>80</v>
      </c>
      <c r="F86" s="4">
        <f t="shared" si="20"/>
        <v>2</v>
      </c>
      <c r="G86" s="4">
        <f t="shared" si="21"/>
        <v>181</v>
      </c>
      <c r="H86" s="4">
        <f t="shared" si="22"/>
        <v>180</v>
      </c>
      <c r="I86" s="4">
        <f t="shared" si="23"/>
        <v>184</v>
      </c>
      <c r="J86" s="4" t="str">
        <f t="shared" si="13"/>
        <v>Server 1</v>
      </c>
      <c r="K86" s="4">
        <f t="shared" si="14"/>
        <v>3</v>
      </c>
      <c r="L86" s="4">
        <f t="shared" si="15"/>
        <v>181</v>
      </c>
      <c r="M86" s="7">
        <f t="shared" si="16"/>
        <v>184</v>
      </c>
      <c r="N86" s="7" t="str">
        <f t="shared" si="17"/>
        <v>-</v>
      </c>
      <c r="O86" s="4">
        <f t="shared" si="18"/>
        <v>0</v>
      </c>
      <c r="P86" s="4"/>
      <c r="Q86" s="4"/>
      <c r="R86" s="4">
        <f t="shared" si="19"/>
        <v>3</v>
      </c>
      <c r="S86" s="16">
        <v>0.4241408419006002</v>
      </c>
    </row>
    <row r="87" spans="4:19" x14ac:dyDescent="0.25">
      <c r="D87" s="38">
        <v>0.93087708908930167</v>
      </c>
      <c r="E87" s="4">
        <v>81</v>
      </c>
      <c r="F87" s="4">
        <f t="shared" si="20"/>
        <v>4</v>
      </c>
      <c r="G87" s="4">
        <f t="shared" si="21"/>
        <v>185</v>
      </c>
      <c r="H87" s="4">
        <f t="shared" si="22"/>
        <v>184</v>
      </c>
      <c r="I87" s="4">
        <f t="shared" si="23"/>
        <v>184</v>
      </c>
      <c r="J87" s="4" t="str">
        <f t="shared" si="13"/>
        <v>Server 1</v>
      </c>
      <c r="K87" s="4">
        <f t="shared" si="14"/>
        <v>4</v>
      </c>
      <c r="L87" s="4">
        <f t="shared" si="15"/>
        <v>185</v>
      </c>
      <c r="M87" s="7">
        <f t="shared" si="16"/>
        <v>189</v>
      </c>
      <c r="N87" s="7" t="str">
        <f t="shared" si="17"/>
        <v>-</v>
      </c>
      <c r="O87" s="4">
        <f t="shared" si="18"/>
        <v>0</v>
      </c>
      <c r="P87" s="4"/>
      <c r="Q87" s="4"/>
      <c r="R87" s="4">
        <f t="shared" si="19"/>
        <v>4</v>
      </c>
      <c r="S87" s="16">
        <v>0.67164643227359722</v>
      </c>
    </row>
    <row r="88" spans="4:19" x14ac:dyDescent="0.25">
      <c r="D88" s="38">
        <v>0.39130199229334028</v>
      </c>
      <c r="E88" s="4">
        <v>82</v>
      </c>
      <c r="F88" s="4">
        <f t="shared" si="20"/>
        <v>2</v>
      </c>
      <c r="G88" s="4">
        <f t="shared" si="21"/>
        <v>187</v>
      </c>
      <c r="H88" s="4">
        <f t="shared" si="22"/>
        <v>189</v>
      </c>
      <c r="I88" s="4">
        <f t="shared" si="23"/>
        <v>184</v>
      </c>
      <c r="J88" s="4" t="str">
        <f t="shared" si="13"/>
        <v>Server 2</v>
      </c>
      <c r="K88" s="4">
        <f t="shared" si="14"/>
        <v>3</v>
      </c>
      <c r="L88" s="4">
        <f t="shared" si="15"/>
        <v>187</v>
      </c>
      <c r="M88" s="7" t="str">
        <f t="shared" si="16"/>
        <v>-</v>
      </c>
      <c r="N88" s="7">
        <f t="shared" si="17"/>
        <v>190</v>
      </c>
      <c r="O88" s="4">
        <f t="shared" si="18"/>
        <v>0</v>
      </c>
      <c r="P88" s="4"/>
      <c r="Q88" s="4"/>
      <c r="R88" s="4">
        <f t="shared" si="19"/>
        <v>3</v>
      </c>
      <c r="S88" s="16">
        <v>0.28330110241491835</v>
      </c>
    </row>
    <row r="89" spans="4:19" x14ac:dyDescent="0.25">
      <c r="D89" s="38">
        <v>0.40789003225471965</v>
      </c>
      <c r="E89" s="4">
        <v>83</v>
      </c>
      <c r="F89" s="4">
        <f t="shared" si="20"/>
        <v>2</v>
      </c>
      <c r="G89" s="4">
        <f t="shared" si="21"/>
        <v>189</v>
      </c>
      <c r="H89" s="4">
        <f t="shared" si="22"/>
        <v>189</v>
      </c>
      <c r="I89" s="4">
        <f t="shared" si="23"/>
        <v>190</v>
      </c>
      <c r="J89" s="4" t="str">
        <f t="shared" si="13"/>
        <v>Server 1</v>
      </c>
      <c r="K89" s="4">
        <f t="shared" si="14"/>
        <v>5</v>
      </c>
      <c r="L89" s="4">
        <f t="shared" si="15"/>
        <v>189</v>
      </c>
      <c r="M89" s="7">
        <f t="shared" si="16"/>
        <v>194</v>
      </c>
      <c r="N89" s="7" t="str">
        <f t="shared" si="17"/>
        <v>-</v>
      </c>
      <c r="O89" s="4">
        <f t="shared" si="18"/>
        <v>0</v>
      </c>
      <c r="P89" s="4"/>
      <c r="Q89" s="4"/>
      <c r="R89" s="4">
        <f t="shared" si="19"/>
        <v>5</v>
      </c>
      <c r="S89" s="16">
        <v>0.86233046058828322</v>
      </c>
    </row>
    <row r="90" spans="4:19" x14ac:dyDescent="0.25">
      <c r="D90" s="38">
        <v>0.29078468824933223</v>
      </c>
      <c r="E90" s="4">
        <v>84</v>
      </c>
      <c r="F90" s="4">
        <f t="shared" si="20"/>
        <v>2</v>
      </c>
      <c r="G90" s="4">
        <f t="shared" si="21"/>
        <v>191</v>
      </c>
      <c r="H90" s="4">
        <f t="shared" si="22"/>
        <v>194</v>
      </c>
      <c r="I90" s="4">
        <f t="shared" si="23"/>
        <v>190</v>
      </c>
      <c r="J90" s="4" t="str">
        <f t="shared" si="13"/>
        <v>Server 2</v>
      </c>
      <c r="K90" s="4">
        <f t="shared" si="14"/>
        <v>3</v>
      </c>
      <c r="L90" s="4">
        <f t="shared" si="15"/>
        <v>191</v>
      </c>
      <c r="M90" s="7" t="str">
        <f t="shared" si="16"/>
        <v>-</v>
      </c>
      <c r="N90" s="7">
        <f t="shared" si="17"/>
        <v>194</v>
      </c>
      <c r="O90" s="4">
        <f t="shared" si="18"/>
        <v>0</v>
      </c>
      <c r="P90" s="4"/>
      <c r="Q90" s="4"/>
      <c r="R90" s="4">
        <f t="shared" si="19"/>
        <v>3</v>
      </c>
      <c r="S90" s="16">
        <v>3.6331972440835414E-2</v>
      </c>
    </row>
    <row r="91" spans="4:19" x14ac:dyDescent="0.25">
      <c r="D91" s="38">
        <v>0.29287647831485875</v>
      </c>
      <c r="E91" s="4">
        <v>85</v>
      </c>
      <c r="F91" s="4">
        <f t="shared" si="20"/>
        <v>2</v>
      </c>
      <c r="G91" s="4">
        <f t="shared" si="21"/>
        <v>193</v>
      </c>
      <c r="H91" s="4">
        <f t="shared" si="22"/>
        <v>194</v>
      </c>
      <c r="I91" s="4">
        <f t="shared" si="23"/>
        <v>194</v>
      </c>
      <c r="J91" s="4" t="str">
        <f t="shared" si="13"/>
        <v>Server 1</v>
      </c>
      <c r="K91" s="4">
        <f t="shared" si="14"/>
        <v>3</v>
      </c>
      <c r="L91" s="4">
        <f t="shared" si="15"/>
        <v>194</v>
      </c>
      <c r="M91" s="7">
        <f t="shared" si="16"/>
        <v>197</v>
      </c>
      <c r="N91" s="7" t="str">
        <f t="shared" si="17"/>
        <v>-</v>
      </c>
      <c r="O91" s="4">
        <f t="shared" si="18"/>
        <v>1</v>
      </c>
      <c r="P91" s="4"/>
      <c r="Q91" s="4"/>
      <c r="R91" s="4">
        <f t="shared" si="19"/>
        <v>4</v>
      </c>
      <c r="S91" s="16">
        <v>0.447192716571996</v>
      </c>
    </row>
    <row r="92" spans="4:19" x14ac:dyDescent="0.25">
      <c r="D92" s="38">
        <v>6.0060495617731635E-2</v>
      </c>
      <c r="E92" s="4">
        <v>86</v>
      </c>
      <c r="F92" s="4">
        <f t="shared" si="20"/>
        <v>1</v>
      </c>
      <c r="G92" s="4">
        <f t="shared" si="21"/>
        <v>194</v>
      </c>
      <c r="H92" s="4">
        <f t="shared" si="22"/>
        <v>197</v>
      </c>
      <c r="I92" s="4">
        <f t="shared" si="23"/>
        <v>194</v>
      </c>
      <c r="J92" s="4" t="str">
        <f t="shared" si="13"/>
        <v>Server 2</v>
      </c>
      <c r="K92" s="4">
        <f t="shared" si="14"/>
        <v>4</v>
      </c>
      <c r="L92" s="4">
        <f t="shared" si="15"/>
        <v>194</v>
      </c>
      <c r="M92" s="7" t="str">
        <f t="shared" si="16"/>
        <v>-</v>
      </c>
      <c r="N92" s="7">
        <f t="shared" si="17"/>
        <v>198</v>
      </c>
      <c r="O92" s="4">
        <f t="shared" si="18"/>
        <v>0</v>
      </c>
      <c r="P92" s="4"/>
      <c r="Q92" s="4"/>
      <c r="R92" s="4">
        <f t="shared" si="19"/>
        <v>4</v>
      </c>
      <c r="S92" s="16">
        <v>0.57421564339164977</v>
      </c>
    </row>
    <row r="93" spans="4:19" x14ac:dyDescent="0.25">
      <c r="D93" s="38">
        <v>0.87582887770016749</v>
      </c>
      <c r="E93" s="4">
        <v>87</v>
      </c>
      <c r="F93" s="4">
        <f t="shared" si="20"/>
        <v>4</v>
      </c>
      <c r="G93" s="4">
        <f t="shared" si="21"/>
        <v>198</v>
      </c>
      <c r="H93" s="4">
        <f t="shared" si="22"/>
        <v>197</v>
      </c>
      <c r="I93" s="4">
        <f t="shared" si="23"/>
        <v>198</v>
      </c>
      <c r="J93" s="4" t="str">
        <f t="shared" si="13"/>
        <v>Server 1</v>
      </c>
      <c r="K93" s="4">
        <f t="shared" si="14"/>
        <v>3</v>
      </c>
      <c r="L93" s="4">
        <f t="shared" si="15"/>
        <v>198</v>
      </c>
      <c r="M93" s="7">
        <f t="shared" si="16"/>
        <v>201</v>
      </c>
      <c r="N93" s="7" t="str">
        <f t="shared" si="17"/>
        <v>-</v>
      </c>
      <c r="O93" s="4">
        <f t="shared" si="18"/>
        <v>0</v>
      </c>
      <c r="P93" s="4"/>
      <c r="Q93" s="4"/>
      <c r="R93" s="4">
        <f t="shared" si="19"/>
        <v>3</v>
      </c>
      <c r="S93" s="16">
        <v>0.55457261678464476</v>
      </c>
    </row>
    <row r="94" spans="4:19" x14ac:dyDescent="0.25">
      <c r="D94" s="38">
        <v>0.18066543928108514</v>
      </c>
      <c r="E94" s="4">
        <v>88</v>
      </c>
      <c r="F94" s="4">
        <f t="shared" si="20"/>
        <v>1</v>
      </c>
      <c r="G94" s="4">
        <f t="shared" si="21"/>
        <v>199</v>
      </c>
      <c r="H94" s="4">
        <f t="shared" si="22"/>
        <v>201</v>
      </c>
      <c r="I94" s="4">
        <f t="shared" si="23"/>
        <v>198</v>
      </c>
      <c r="J94" s="4" t="str">
        <f t="shared" si="13"/>
        <v>Server 2</v>
      </c>
      <c r="K94" s="4">
        <f t="shared" si="14"/>
        <v>4</v>
      </c>
      <c r="L94" s="4">
        <f t="shared" si="15"/>
        <v>199</v>
      </c>
      <c r="M94" s="7" t="str">
        <f t="shared" si="16"/>
        <v>-</v>
      </c>
      <c r="N94" s="7">
        <f t="shared" si="17"/>
        <v>203</v>
      </c>
      <c r="O94" s="4">
        <f t="shared" si="18"/>
        <v>0</v>
      </c>
      <c r="P94" s="4"/>
      <c r="Q94" s="4"/>
      <c r="R94" s="4">
        <f t="shared" si="19"/>
        <v>4</v>
      </c>
      <c r="S94" s="16">
        <v>0.3613051213302152</v>
      </c>
    </row>
    <row r="95" spans="4:19" x14ac:dyDescent="0.25">
      <c r="D95" s="38">
        <v>0.68370107039492711</v>
      </c>
      <c r="E95" s="4">
        <v>89</v>
      </c>
      <c r="F95" s="4">
        <f t="shared" si="20"/>
        <v>3</v>
      </c>
      <c r="G95" s="4">
        <f t="shared" si="21"/>
        <v>202</v>
      </c>
      <c r="H95" s="4">
        <f t="shared" si="22"/>
        <v>201</v>
      </c>
      <c r="I95" s="4">
        <f t="shared" si="23"/>
        <v>203</v>
      </c>
      <c r="J95" s="4" t="str">
        <f t="shared" si="13"/>
        <v>Server 1</v>
      </c>
      <c r="K95" s="4">
        <f t="shared" si="14"/>
        <v>5</v>
      </c>
      <c r="L95" s="4">
        <f t="shared" si="15"/>
        <v>202</v>
      </c>
      <c r="M95" s="7">
        <f t="shared" si="16"/>
        <v>207</v>
      </c>
      <c r="N95" s="7" t="str">
        <f t="shared" si="17"/>
        <v>-</v>
      </c>
      <c r="O95" s="4">
        <f t="shared" si="18"/>
        <v>0</v>
      </c>
      <c r="P95" s="4"/>
      <c r="Q95" s="4"/>
      <c r="R95" s="4">
        <f t="shared" si="19"/>
        <v>5</v>
      </c>
      <c r="S95" s="16">
        <v>0.88533193315557079</v>
      </c>
    </row>
    <row r="96" spans="4:19" x14ac:dyDescent="0.25">
      <c r="D96" s="38">
        <v>0.23026166010556992</v>
      </c>
      <c r="E96" s="4">
        <v>90</v>
      </c>
      <c r="F96" s="4">
        <f t="shared" si="20"/>
        <v>1</v>
      </c>
      <c r="G96" s="4">
        <f t="shared" si="21"/>
        <v>203</v>
      </c>
      <c r="H96" s="4">
        <f t="shared" si="22"/>
        <v>207</v>
      </c>
      <c r="I96" s="4">
        <f t="shared" si="23"/>
        <v>203</v>
      </c>
      <c r="J96" s="4" t="str">
        <f t="shared" si="13"/>
        <v>Server 2</v>
      </c>
      <c r="K96" s="4">
        <f t="shared" si="14"/>
        <v>4</v>
      </c>
      <c r="L96" s="4">
        <f t="shared" si="15"/>
        <v>203</v>
      </c>
      <c r="M96" s="7" t="str">
        <f t="shared" si="16"/>
        <v>-</v>
      </c>
      <c r="N96" s="7">
        <f t="shared" si="17"/>
        <v>207</v>
      </c>
      <c r="O96" s="4">
        <f t="shared" si="18"/>
        <v>0</v>
      </c>
      <c r="P96" s="4"/>
      <c r="Q96" s="4"/>
      <c r="R96" s="4">
        <f t="shared" si="19"/>
        <v>4</v>
      </c>
      <c r="S96" s="16">
        <v>0.54679827251721769</v>
      </c>
    </row>
    <row r="97" spans="4:19" x14ac:dyDescent="0.25">
      <c r="D97" s="38">
        <v>0.78113348678825389</v>
      </c>
      <c r="E97" s="4">
        <v>91</v>
      </c>
      <c r="F97" s="4">
        <f t="shared" si="20"/>
        <v>3</v>
      </c>
      <c r="G97" s="4">
        <f t="shared" si="21"/>
        <v>206</v>
      </c>
      <c r="H97" s="4">
        <f t="shared" si="22"/>
        <v>207</v>
      </c>
      <c r="I97" s="4">
        <f t="shared" si="23"/>
        <v>207</v>
      </c>
      <c r="J97" s="4" t="str">
        <f t="shared" si="13"/>
        <v>Server 1</v>
      </c>
      <c r="K97" s="4">
        <f t="shared" si="14"/>
        <v>3</v>
      </c>
      <c r="L97" s="4">
        <f t="shared" si="15"/>
        <v>207</v>
      </c>
      <c r="M97" s="7">
        <f t="shared" si="16"/>
        <v>210</v>
      </c>
      <c r="N97" s="7" t="str">
        <f t="shared" si="17"/>
        <v>-</v>
      </c>
      <c r="O97" s="4">
        <f t="shared" si="18"/>
        <v>1</v>
      </c>
      <c r="P97" s="4"/>
      <c r="Q97" s="4"/>
      <c r="R97" s="4">
        <f t="shared" si="19"/>
        <v>4</v>
      </c>
      <c r="S97" s="16">
        <v>0.57338716563263625</v>
      </c>
    </row>
    <row r="98" spans="4:19" x14ac:dyDescent="0.25">
      <c r="D98" s="38">
        <v>0.44970374676514524</v>
      </c>
      <c r="E98" s="4">
        <v>92</v>
      </c>
      <c r="F98" s="4">
        <f t="shared" si="20"/>
        <v>2</v>
      </c>
      <c r="G98" s="4">
        <f t="shared" si="21"/>
        <v>208</v>
      </c>
      <c r="H98" s="4">
        <f t="shared" si="22"/>
        <v>210</v>
      </c>
      <c r="I98" s="4">
        <f t="shared" si="23"/>
        <v>207</v>
      </c>
      <c r="J98" s="4" t="str">
        <f t="shared" si="13"/>
        <v>Server 2</v>
      </c>
      <c r="K98" s="4">
        <f t="shared" si="14"/>
        <v>3</v>
      </c>
      <c r="L98" s="4">
        <f t="shared" si="15"/>
        <v>208</v>
      </c>
      <c r="M98" s="7" t="str">
        <f t="shared" si="16"/>
        <v>-</v>
      </c>
      <c r="N98" s="7">
        <f t="shared" si="17"/>
        <v>211</v>
      </c>
      <c r="O98" s="4">
        <f t="shared" si="18"/>
        <v>0</v>
      </c>
      <c r="P98" s="4"/>
      <c r="Q98" s="4"/>
      <c r="R98" s="4">
        <f t="shared" si="19"/>
        <v>3</v>
      </c>
      <c r="S98" s="16">
        <v>7.9131058060766479E-2</v>
      </c>
    </row>
    <row r="99" spans="4:19" x14ac:dyDescent="0.25">
      <c r="D99" s="38">
        <v>0.53179162701447225</v>
      </c>
      <c r="E99" s="4">
        <v>93</v>
      </c>
      <c r="F99" s="4">
        <f t="shared" si="20"/>
        <v>2</v>
      </c>
      <c r="G99" s="4">
        <f t="shared" si="21"/>
        <v>210</v>
      </c>
      <c r="H99" s="4">
        <f t="shared" si="22"/>
        <v>210</v>
      </c>
      <c r="I99" s="4">
        <f t="shared" si="23"/>
        <v>211</v>
      </c>
      <c r="J99" s="4" t="str">
        <f t="shared" si="13"/>
        <v>Server 1</v>
      </c>
      <c r="K99" s="4">
        <f t="shared" si="14"/>
        <v>3</v>
      </c>
      <c r="L99" s="4">
        <f t="shared" si="15"/>
        <v>210</v>
      </c>
      <c r="M99" s="7">
        <f t="shared" si="16"/>
        <v>213</v>
      </c>
      <c r="N99" s="7" t="str">
        <f t="shared" si="17"/>
        <v>-</v>
      </c>
      <c r="O99" s="4">
        <f t="shared" si="18"/>
        <v>0</v>
      </c>
      <c r="P99" s="4"/>
      <c r="Q99" s="4"/>
      <c r="R99" s="4">
        <f t="shared" si="19"/>
        <v>3</v>
      </c>
      <c r="S99" s="16">
        <v>0.54417863290815782</v>
      </c>
    </row>
    <row r="100" spans="4:19" x14ac:dyDescent="0.25">
      <c r="D100" s="38">
        <v>0.61507235099320534</v>
      </c>
      <c r="E100" s="4">
        <v>94</v>
      </c>
      <c r="F100" s="4">
        <f t="shared" si="20"/>
        <v>2</v>
      </c>
      <c r="G100" s="4">
        <f t="shared" si="21"/>
        <v>212</v>
      </c>
      <c r="H100" s="4">
        <f t="shared" si="22"/>
        <v>213</v>
      </c>
      <c r="I100" s="4">
        <f t="shared" si="23"/>
        <v>211</v>
      </c>
      <c r="J100" s="4" t="str">
        <f t="shared" si="13"/>
        <v>Server 2</v>
      </c>
      <c r="K100" s="4">
        <f t="shared" si="14"/>
        <v>5</v>
      </c>
      <c r="L100" s="4">
        <f t="shared" si="15"/>
        <v>212</v>
      </c>
      <c r="M100" s="7" t="str">
        <f t="shared" si="16"/>
        <v>-</v>
      </c>
      <c r="N100" s="7">
        <f t="shared" si="17"/>
        <v>217</v>
      </c>
      <c r="O100" s="4">
        <f t="shared" si="18"/>
        <v>0</v>
      </c>
      <c r="P100" s="4"/>
      <c r="Q100" s="4"/>
      <c r="R100" s="4">
        <f t="shared" si="19"/>
        <v>5</v>
      </c>
      <c r="S100" s="16">
        <v>0.77953138241826836</v>
      </c>
    </row>
    <row r="101" spans="4:19" x14ac:dyDescent="0.25">
      <c r="D101" s="38">
        <v>0.37853231425194622</v>
      </c>
      <c r="E101" s="4">
        <v>95</v>
      </c>
      <c r="F101" s="4">
        <f t="shared" si="20"/>
        <v>2</v>
      </c>
      <c r="G101" s="4">
        <f t="shared" si="21"/>
        <v>214</v>
      </c>
      <c r="H101" s="4">
        <f t="shared" si="22"/>
        <v>213</v>
      </c>
      <c r="I101" s="4">
        <f t="shared" si="23"/>
        <v>217</v>
      </c>
      <c r="J101" s="4" t="str">
        <f t="shared" si="13"/>
        <v>Server 1</v>
      </c>
      <c r="K101" s="4">
        <f t="shared" si="14"/>
        <v>4</v>
      </c>
      <c r="L101" s="4">
        <f t="shared" si="15"/>
        <v>214</v>
      </c>
      <c r="M101" s="7">
        <f t="shared" si="16"/>
        <v>218</v>
      </c>
      <c r="N101" s="7" t="str">
        <f t="shared" si="17"/>
        <v>-</v>
      </c>
      <c r="O101" s="4">
        <f t="shared" si="18"/>
        <v>0</v>
      </c>
      <c r="P101" s="4"/>
      <c r="Q101" s="4"/>
      <c r="R101" s="4">
        <f t="shared" si="19"/>
        <v>4</v>
      </c>
      <c r="S101" s="16">
        <v>0.61289244160506695</v>
      </c>
    </row>
    <row r="102" spans="4:19" x14ac:dyDescent="0.25">
      <c r="D102" s="38">
        <v>0.27506124133458498</v>
      </c>
      <c r="E102" s="4">
        <v>96</v>
      </c>
      <c r="F102" s="4">
        <f t="shared" si="20"/>
        <v>2</v>
      </c>
      <c r="G102" s="4">
        <f t="shared" si="21"/>
        <v>216</v>
      </c>
      <c r="H102" s="4">
        <f t="shared" si="22"/>
        <v>218</v>
      </c>
      <c r="I102" s="4">
        <f t="shared" si="23"/>
        <v>217</v>
      </c>
      <c r="J102" s="4" t="str">
        <f t="shared" si="13"/>
        <v>Server 2</v>
      </c>
      <c r="K102" s="4">
        <f t="shared" si="14"/>
        <v>6</v>
      </c>
      <c r="L102" s="4">
        <f t="shared" si="15"/>
        <v>217</v>
      </c>
      <c r="M102" s="7" t="str">
        <f t="shared" si="16"/>
        <v>-</v>
      </c>
      <c r="N102" s="7">
        <f t="shared" si="17"/>
        <v>223</v>
      </c>
      <c r="O102" s="4">
        <f t="shared" si="18"/>
        <v>1</v>
      </c>
      <c r="P102" s="4"/>
      <c r="Q102" s="4"/>
      <c r="R102" s="4">
        <f t="shared" si="19"/>
        <v>7</v>
      </c>
      <c r="S102" s="16">
        <v>0.87154992429441769</v>
      </c>
    </row>
    <row r="103" spans="4:19" x14ac:dyDescent="0.25">
      <c r="D103" s="38">
        <v>0.86427665210811677</v>
      </c>
      <c r="E103" s="4">
        <v>97</v>
      </c>
      <c r="F103" s="4">
        <f t="shared" si="20"/>
        <v>4</v>
      </c>
      <c r="G103" s="4">
        <f t="shared" si="21"/>
        <v>220</v>
      </c>
      <c r="H103" s="4">
        <f t="shared" si="22"/>
        <v>218</v>
      </c>
      <c r="I103" s="4">
        <f t="shared" si="23"/>
        <v>223</v>
      </c>
      <c r="J103" s="4" t="str">
        <f t="shared" si="13"/>
        <v>Server 1</v>
      </c>
      <c r="K103" s="4">
        <f t="shared" si="14"/>
        <v>5</v>
      </c>
      <c r="L103" s="4">
        <f t="shared" si="15"/>
        <v>220</v>
      </c>
      <c r="M103" s="7">
        <f t="shared" si="16"/>
        <v>225</v>
      </c>
      <c r="N103" s="7" t="str">
        <f t="shared" si="17"/>
        <v>-</v>
      </c>
      <c r="O103" s="4">
        <f t="shared" si="18"/>
        <v>0</v>
      </c>
      <c r="P103" s="4"/>
      <c r="Q103" s="4"/>
      <c r="R103" s="4">
        <f t="shared" si="19"/>
        <v>5</v>
      </c>
      <c r="S103" s="16">
        <v>0.98277916033390766</v>
      </c>
    </row>
    <row r="104" spans="4:19" x14ac:dyDescent="0.25">
      <c r="D104" s="38">
        <v>8.8432439513752681E-2</v>
      </c>
      <c r="E104" s="4">
        <v>98</v>
      </c>
      <c r="F104" s="4">
        <f t="shared" si="20"/>
        <v>1</v>
      </c>
      <c r="G104" s="4">
        <f t="shared" si="21"/>
        <v>221</v>
      </c>
      <c r="H104" s="4">
        <f t="shared" si="22"/>
        <v>225</v>
      </c>
      <c r="I104" s="4">
        <f t="shared" si="23"/>
        <v>223</v>
      </c>
      <c r="J104" s="4" t="str">
        <f t="shared" si="13"/>
        <v>Server 2</v>
      </c>
      <c r="K104" s="4">
        <f t="shared" si="14"/>
        <v>6</v>
      </c>
      <c r="L104" s="4">
        <f t="shared" si="15"/>
        <v>223</v>
      </c>
      <c r="M104" s="7" t="str">
        <f t="shared" si="16"/>
        <v>-</v>
      </c>
      <c r="N104" s="7">
        <f t="shared" si="17"/>
        <v>229</v>
      </c>
      <c r="O104" s="4">
        <f t="shared" si="18"/>
        <v>2</v>
      </c>
      <c r="P104" s="4"/>
      <c r="Q104" s="4"/>
      <c r="R104" s="4">
        <f t="shared" si="19"/>
        <v>8</v>
      </c>
      <c r="S104" s="16">
        <v>0.88237656253056129</v>
      </c>
    </row>
    <row r="105" spans="4:19" x14ac:dyDescent="0.25">
      <c r="D105" s="38">
        <v>0.84949641226367256</v>
      </c>
      <c r="E105" s="4">
        <v>99</v>
      </c>
      <c r="F105" s="4">
        <f t="shared" si="20"/>
        <v>3</v>
      </c>
      <c r="G105" s="4">
        <f t="shared" si="21"/>
        <v>224</v>
      </c>
      <c r="H105" s="4">
        <f t="shared" si="22"/>
        <v>225</v>
      </c>
      <c r="I105" s="4">
        <f t="shared" si="23"/>
        <v>229</v>
      </c>
      <c r="J105" s="4" t="str">
        <f t="shared" si="13"/>
        <v>Server 1</v>
      </c>
      <c r="K105" s="4">
        <f t="shared" si="14"/>
        <v>2</v>
      </c>
      <c r="L105" s="4">
        <f t="shared" si="15"/>
        <v>225</v>
      </c>
      <c r="M105" s="7">
        <f t="shared" si="16"/>
        <v>227</v>
      </c>
      <c r="N105" s="7" t="str">
        <f t="shared" si="17"/>
        <v>-</v>
      </c>
      <c r="O105" s="4">
        <f t="shared" si="18"/>
        <v>1</v>
      </c>
      <c r="P105" s="4"/>
      <c r="Q105" s="4"/>
      <c r="R105" s="4">
        <f t="shared" si="19"/>
        <v>3</v>
      </c>
      <c r="S105" s="16">
        <v>0.13205523626750759</v>
      </c>
    </row>
    <row r="106" spans="4:19" x14ac:dyDescent="0.25">
      <c r="D106" s="38">
        <v>0.84061805454970706</v>
      </c>
      <c r="E106" s="4">
        <v>100</v>
      </c>
      <c r="F106" s="4">
        <f t="shared" si="20"/>
        <v>3</v>
      </c>
      <c r="G106" s="4">
        <f t="shared" si="21"/>
        <v>227</v>
      </c>
      <c r="H106" s="4">
        <f t="shared" si="22"/>
        <v>227</v>
      </c>
      <c r="I106" s="4">
        <f t="shared" si="23"/>
        <v>229</v>
      </c>
      <c r="J106" s="4" t="str">
        <f t="shared" si="13"/>
        <v>Server 1</v>
      </c>
      <c r="K106" s="4">
        <f t="shared" si="14"/>
        <v>5</v>
      </c>
      <c r="L106" s="4">
        <f t="shared" si="15"/>
        <v>227</v>
      </c>
      <c r="M106" s="7">
        <f t="shared" si="16"/>
        <v>232</v>
      </c>
      <c r="N106" s="7" t="str">
        <f t="shared" si="17"/>
        <v>-</v>
      </c>
      <c r="O106" s="4">
        <f t="shared" si="18"/>
        <v>0</v>
      </c>
      <c r="P106" s="4"/>
      <c r="Q106" s="4"/>
      <c r="R106" s="4">
        <f t="shared" si="19"/>
        <v>5</v>
      </c>
      <c r="S106" s="16">
        <v>0.88204400141676476</v>
      </c>
    </row>
    <row r="107" spans="4:19" x14ac:dyDescent="0.25">
      <c r="D107" s="38">
        <v>0.32354458001748643</v>
      </c>
      <c r="E107" s="4">
        <v>101</v>
      </c>
      <c r="F107" s="4">
        <f t="shared" si="20"/>
        <v>2</v>
      </c>
      <c r="G107" s="4">
        <f t="shared" ref="G107:G170" si="24">G106+F107</f>
        <v>229</v>
      </c>
      <c r="H107" s="4">
        <f t="shared" si="22"/>
        <v>232</v>
      </c>
      <c r="I107" s="4">
        <f t="shared" si="23"/>
        <v>229</v>
      </c>
      <c r="J107" s="4" t="str">
        <f t="shared" ref="J107:J170" si="25">ChoseServer(H107,I107,G107)</f>
        <v>Server 2</v>
      </c>
      <c r="K107" s="4">
        <f t="shared" si="14"/>
        <v>5</v>
      </c>
      <c r="L107" s="4">
        <f t="shared" si="15"/>
        <v>229</v>
      </c>
      <c r="M107" s="7" t="str">
        <f t="shared" si="16"/>
        <v>-</v>
      </c>
      <c r="N107" s="7">
        <f t="shared" si="17"/>
        <v>234</v>
      </c>
      <c r="O107" s="4">
        <f>L107-G107</f>
        <v>0</v>
      </c>
      <c r="P107" s="4"/>
      <c r="Q107" s="4"/>
      <c r="R107" s="4">
        <f t="shared" ref="R107:R170" si="26">O107+K107</f>
        <v>5</v>
      </c>
      <c r="S107" s="16">
        <v>0.78653767882880132</v>
      </c>
    </row>
    <row r="108" spans="4:19" x14ac:dyDescent="0.25">
      <c r="D108" s="38">
        <v>6.3218954529560833E-2</v>
      </c>
      <c r="E108" s="4">
        <v>102</v>
      </c>
      <c r="F108" s="4">
        <f t="shared" si="20"/>
        <v>1</v>
      </c>
      <c r="G108" s="4">
        <f t="shared" si="24"/>
        <v>230</v>
      </c>
      <c r="H108" s="4">
        <f t="shared" si="22"/>
        <v>232</v>
      </c>
      <c r="I108" s="4">
        <f t="shared" si="23"/>
        <v>234</v>
      </c>
      <c r="J108" s="4" t="str">
        <f t="shared" si="25"/>
        <v>Server 1</v>
      </c>
      <c r="K108" s="4">
        <f t="shared" si="14"/>
        <v>4</v>
      </c>
      <c r="L108" s="4">
        <f t="shared" si="15"/>
        <v>232</v>
      </c>
      <c r="M108" s="7">
        <f t="shared" si="16"/>
        <v>236</v>
      </c>
      <c r="N108" s="7" t="str">
        <f t="shared" si="17"/>
        <v>-</v>
      </c>
      <c r="O108" s="4">
        <f t="shared" ref="O108:O170" si="27">L108-G108</f>
        <v>2</v>
      </c>
      <c r="P108" s="4"/>
      <c r="Q108" s="4"/>
      <c r="R108" s="4">
        <f t="shared" si="26"/>
        <v>6</v>
      </c>
      <c r="S108" s="16">
        <v>0.67411692027427605</v>
      </c>
    </row>
    <row r="109" spans="4:19" x14ac:dyDescent="0.25">
      <c r="D109" s="38">
        <v>0.65370507904455588</v>
      </c>
      <c r="E109" s="4">
        <v>103</v>
      </c>
      <c r="F109" s="4">
        <f t="shared" si="20"/>
        <v>3</v>
      </c>
      <c r="G109" s="4">
        <f t="shared" si="24"/>
        <v>233</v>
      </c>
      <c r="H109" s="4">
        <f t="shared" si="22"/>
        <v>236</v>
      </c>
      <c r="I109" s="4">
        <f t="shared" si="23"/>
        <v>234</v>
      </c>
      <c r="J109" s="4" t="str">
        <f t="shared" si="25"/>
        <v>Server 2</v>
      </c>
      <c r="K109" s="4">
        <f t="shared" si="14"/>
        <v>4</v>
      </c>
      <c r="L109" s="4">
        <f t="shared" si="15"/>
        <v>234</v>
      </c>
      <c r="M109" s="7" t="str">
        <f t="shared" si="16"/>
        <v>-</v>
      </c>
      <c r="N109" s="7">
        <f t="shared" si="17"/>
        <v>238</v>
      </c>
      <c r="O109" s="4">
        <f t="shared" si="27"/>
        <v>1</v>
      </c>
      <c r="P109" s="4"/>
      <c r="Q109" s="4"/>
      <c r="R109" s="4">
        <f t="shared" si="26"/>
        <v>5</v>
      </c>
      <c r="S109" s="16">
        <v>0.50925479990451328</v>
      </c>
    </row>
    <row r="110" spans="4:19" x14ac:dyDescent="0.25">
      <c r="D110" s="38">
        <v>0.74891392238935184</v>
      </c>
      <c r="E110" s="4">
        <v>104</v>
      </c>
      <c r="F110" s="4">
        <f t="shared" si="20"/>
        <v>3</v>
      </c>
      <c r="G110" s="4">
        <f t="shared" si="24"/>
        <v>236</v>
      </c>
      <c r="H110" s="4">
        <f t="shared" si="22"/>
        <v>236</v>
      </c>
      <c r="I110" s="4">
        <f t="shared" si="23"/>
        <v>238</v>
      </c>
      <c r="J110" s="4" t="str">
        <f t="shared" si="25"/>
        <v>Server 1</v>
      </c>
      <c r="K110" s="4">
        <f t="shared" si="14"/>
        <v>5</v>
      </c>
      <c r="L110" s="4">
        <f t="shared" si="15"/>
        <v>236</v>
      </c>
      <c r="M110" s="7">
        <f t="shared" si="16"/>
        <v>241</v>
      </c>
      <c r="N110" s="7" t="str">
        <f t="shared" si="17"/>
        <v>-</v>
      </c>
      <c r="O110" s="4">
        <f t="shared" si="27"/>
        <v>0</v>
      </c>
      <c r="P110" s="4"/>
      <c r="Q110" s="4"/>
      <c r="R110" s="4">
        <f t="shared" si="26"/>
        <v>5</v>
      </c>
      <c r="S110" s="16">
        <v>0.93210384231751198</v>
      </c>
    </row>
    <row r="111" spans="4:19" x14ac:dyDescent="0.25">
      <c r="D111" s="38">
        <v>0.95143282678745666</v>
      </c>
      <c r="E111" s="4">
        <v>105</v>
      </c>
      <c r="F111" s="4">
        <f t="shared" si="20"/>
        <v>4</v>
      </c>
      <c r="G111" s="4">
        <f t="shared" si="24"/>
        <v>240</v>
      </c>
      <c r="H111" s="4">
        <f t="shared" si="22"/>
        <v>241</v>
      </c>
      <c r="I111" s="4">
        <f t="shared" si="23"/>
        <v>238</v>
      </c>
      <c r="J111" s="4" t="str">
        <f t="shared" si="25"/>
        <v>Server 2</v>
      </c>
      <c r="K111" s="4">
        <f t="shared" si="14"/>
        <v>5</v>
      </c>
      <c r="L111" s="4">
        <f t="shared" si="15"/>
        <v>240</v>
      </c>
      <c r="M111" s="7" t="str">
        <f t="shared" si="16"/>
        <v>-</v>
      </c>
      <c r="N111" s="7">
        <f t="shared" si="17"/>
        <v>245</v>
      </c>
      <c r="O111" s="4">
        <f t="shared" si="27"/>
        <v>0</v>
      </c>
      <c r="P111" s="4"/>
      <c r="Q111" s="4"/>
      <c r="R111" s="4">
        <f t="shared" si="26"/>
        <v>5</v>
      </c>
      <c r="S111" s="16">
        <v>0.60869117642894999</v>
      </c>
    </row>
    <row r="112" spans="4:19" x14ac:dyDescent="0.25">
      <c r="D112" s="38">
        <v>0.40638553925876086</v>
      </c>
      <c r="E112" s="4">
        <v>106</v>
      </c>
      <c r="F112" s="4">
        <f t="shared" si="20"/>
        <v>2</v>
      </c>
      <c r="G112" s="4">
        <f t="shared" si="24"/>
        <v>242</v>
      </c>
      <c r="H112" s="4">
        <f t="shared" si="22"/>
        <v>241</v>
      </c>
      <c r="I112" s="4">
        <f t="shared" si="23"/>
        <v>245</v>
      </c>
      <c r="J112" s="4" t="str">
        <f t="shared" si="25"/>
        <v>Server 1</v>
      </c>
      <c r="K112" s="4">
        <f t="shared" si="14"/>
        <v>2</v>
      </c>
      <c r="L112" s="4">
        <f t="shared" si="15"/>
        <v>242</v>
      </c>
      <c r="M112" s="7">
        <f t="shared" si="16"/>
        <v>244</v>
      </c>
      <c r="N112" s="7" t="str">
        <f t="shared" si="17"/>
        <v>-</v>
      </c>
      <c r="O112" s="4">
        <f t="shared" si="27"/>
        <v>0</v>
      </c>
      <c r="P112" s="4"/>
      <c r="Q112" s="4"/>
      <c r="R112" s="4">
        <f t="shared" si="26"/>
        <v>2</v>
      </c>
      <c r="S112" s="16">
        <v>7.1469966945974739E-2</v>
      </c>
    </row>
    <row r="113" spans="4:19" x14ac:dyDescent="0.25">
      <c r="D113" s="38">
        <v>0.18781962862360058</v>
      </c>
      <c r="E113" s="4">
        <v>107</v>
      </c>
      <c r="F113" s="4">
        <f t="shared" si="20"/>
        <v>1</v>
      </c>
      <c r="G113" s="4">
        <f t="shared" si="24"/>
        <v>243</v>
      </c>
      <c r="H113" s="4">
        <f t="shared" si="22"/>
        <v>244</v>
      </c>
      <c r="I113" s="4">
        <f t="shared" si="23"/>
        <v>245</v>
      </c>
      <c r="J113" s="4" t="str">
        <f t="shared" si="25"/>
        <v>Server 1</v>
      </c>
      <c r="K113" s="4">
        <f t="shared" si="14"/>
        <v>5</v>
      </c>
      <c r="L113" s="4">
        <f t="shared" si="15"/>
        <v>244</v>
      </c>
      <c r="M113" s="7">
        <f t="shared" si="16"/>
        <v>249</v>
      </c>
      <c r="N113" s="7" t="str">
        <f t="shared" si="17"/>
        <v>-</v>
      </c>
      <c r="O113" s="4">
        <f t="shared" si="27"/>
        <v>1</v>
      </c>
      <c r="P113" s="4"/>
      <c r="Q113" s="4"/>
      <c r="R113" s="4">
        <f t="shared" si="26"/>
        <v>6</v>
      </c>
      <c r="S113" s="16">
        <v>0.85769634133491734</v>
      </c>
    </row>
    <row r="114" spans="4:19" x14ac:dyDescent="0.25">
      <c r="D114" s="38">
        <v>0.91574018513874655</v>
      </c>
      <c r="E114" s="4">
        <v>108</v>
      </c>
      <c r="F114" s="4">
        <f t="shared" si="20"/>
        <v>4</v>
      </c>
      <c r="G114" s="4">
        <f t="shared" si="24"/>
        <v>247</v>
      </c>
      <c r="H114" s="4">
        <f t="shared" si="22"/>
        <v>249</v>
      </c>
      <c r="I114" s="4">
        <f t="shared" si="23"/>
        <v>245</v>
      </c>
      <c r="J114" s="4" t="str">
        <f t="shared" si="25"/>
        <v>Server 2</v>
      </c>
      <c r="K114" s="4">
        <f t="shared" si="14"/>
        <v>6</v>
      </c>
      <c r="L114" s="4">
        <f t="shared" si="15"/>
        <v>247</v>
      </c>
      <c r="M114" s="7" t="str">
        <f t="shared" si="16"/>
        <v>-</v>
      </c>
      <c r="N114" s="7">
        <f t="shared" si="17"/>
        <v>253</v>
      </c>
      <c r="O114" s="4">
        <f t="shared" si="27"/>
        <v>0</v>
      </c>
      <c r="P114" s="4"/>
      <c r="Q114" s="4"/>
      <c r="R114" s="4">
        <f t="shared" si="26"/>
        <v>6</v>
      </c>
      <c r="S114" s="16">
        <v>0.80676091846797393</v>
      </c>
    </row>
    <row r="115" spans="4:19" x14ac:dyDescent="0.25">
      <c r="D115" s="38">
        <v>0.67414571866598583</v>
      </c>
      <c r="E115" s="4">
        <v>109</v>
      </c>
      <c r="F115" s="4">
        <f t="shared" si="20"/>
        <v>3</v>
      </c>
      <c r="G115" s="4">
        <f t="shared" si="24"/>
        <v>250</v>
      </c>
      <c r="H115" s="4">
        <f t="shared" si="22"/>
        <v>249</v>
      </c>
      <c r="I115" s="4">
        <f t="shared" si="23"/>
        <v>253</v>
      </c>
      <c r="J115" s="4" t="str">
        <f t="shared" si="25"/>
        <v>Server 1</v>
      </c>
      <c r="K115" s="4">
        <f t="shared" si="14"/>
        <v>3</v>
      </c>
      <c r="L115" s="4">
        <f t="shared" si="15"/>
        <v>250</v>
      </c>
      <c r="M115" s="7">
        <f t="shared" si="16"/>
        <v>253</v>
      </c>
      <c r="N115" s="7" t="str">
        <f t="shared" si="17"/>
        <v>-</v>
      </c>
      <c r="O115" s="4">
        <f t="shared" si="27"/>
        <v>0</v>
      </c>
      <c r="P115" s="4"/>
      <c r="Q115" s="4"/>
      <c r="R115" s="4">
        <f t="shared" si="26"/>
        <v>3</v>
      </c>
      <c r="S115" s="16">
        <v>0.4513183931597734</v>
      </c>
    </row>
    <row r="116" spans="4:19" x14ac:dyDescent="0.25">
      <c r="D116" s="38">
        <v>0.56617102107055861</v>
      </c>
      <c r="E116" s="4">
        <v>110</v>
      </c>
      <c r="F116" s="4">
        <f t="shared" si="20"/>
        <v>2</v>
      </c>
      <c r="G116" s="4">
        <f t="shared" si="24"/>
        <v>252</v>
      </c>
      <c r="H116" s="4">
        <f t="shared" si="22"/>
        <v>253</v>
      </c>
      <c r="I116" s="4">
        <f t="shared" si="23"/>
        <v>253</v>
      </c>
      <c r="J116" s="4" t="str">
        <f t="shared" si="25"/>
        <v>Server 1</v>
      </c>
      <c r="K116" s="4">
        <f t="shared" si="14"/>
        <v>2</v>
      </c>
      <c r="L116" s="4">
        <f t="shared" si="15"/>
        <v>253</v>
      </c>
      <c r="M116" s="7">
        <f t="shared" si="16"/>
        <v>255</v>
      </c>
      <c r="N116" s="7" t="str">
        <f t="shared" si="17"/>
        <v>-</v>
      </c>
      <c r="O116" s="4">
        <f t="shared" si="27"/>
        <v>1</v>
      </c>
      <c r="P116" s="4"/>
      <c r="Q116" s="4"/>
      <c r="R116" s="4">
        <f t="shared" si="26"/>
        <v>3</v>
      </c>
      <c r="S116" s="16">
        <v>0.24512347057742234</v>
      </c>
    </row>
    <row r="117" spans="4:19" x14ac:dyDescent="0.25">
      <c r="D117" s="38">
        <v>0.73094173133021179</v>
      </c>
      <c r="E117" s="4">
        <v>111</v>
      </c>
      <c r="F117" s="4">
        <f t="shared" si="20"/>
        <v>3</v>
      </c>
      <c r="G117" s="4">
        <f t="shared" si="24"/>
        <v>255</v>
      </c>
      <c r="H117" s="4">
        <f t="shared" si="22"/>
        <v>255</v>
      </c>
      <c r="I117" s="4">
        <f t="shared" si="23"/>
        <v>253</v>
      </c>
      <c r="J117" s="4" t="str">
        <f t="shared" si="25"/>
        <v>Server 1</v>
      </c>
      <c r="K117" s="4">
        <f t="shared" si="14"/>
        <v>2</v>
      </c>
      <c r="L117" s="4">
        <f t="shared" si="15"/>
        <v>255</v>
      </c>
      <c r="M117" s="7">
        <f t="shared" si="16"/>
        <v>257</v>
      </c>
      <c r="N117" s="7" t="str">
        <f t="shared" si="17"/>
        <v>-</v>
      </c>
      <c r="O117" s="4">
        <f t="shared" si="27"/>
        <v>0</v>
      </c>
      <c r="P117" s="4"/>
      <c r="Q117" s="4"/>
      <c r="R117" s="4">
        <f t="shared" si="26"/>
        <v>2</v>
      </c>
      <c r="S117" s="16">
        <v>5.9676482453452251E-2</v>
      </c>
    </row>
    <row r="118" spans="4:19" x14ac:dyDescent="0.25">
      <c r="D118" s="38">
        <v>0.61853238494972784</v>
      </c>
      <c r="E118" s="4">
        <v>112</v>
      </c>
      <c r="F118" s="4">
        <f t="shared" si="20"/>
        <v>2</v>
      </c>
      <c r="G118" s="4">
        <f t="shared" si="24"/>
        <v>257</v>
      </c>
      <c r="H118" s="4">
        <f t="shared" si="22"/>
        <v>257</v>
      </c>
      <c r="I118" s="4">
        <f t="shared" si="23"/>
        <v>253</v>
      </c>
      <c r="J118" s="4" t="str">
        <f t="shared" si="25"/>
        <v>Server 1</v>
      </c>
      <c r="K118" s="4">
        <f t="shared" si="14"/>
        <v>4</v>
      </c>
      <c r="L118" s="4">
        <f t="shared" si="15"/>
        <v>257</v>
      </c>
      <c r="M118" s="7">
        <f t="shared" si="16"/>
        <v>261</v>
      </c>
      <c r="N118" s="7" t="str">
        <f t="shared" si="17"/>
        <v>-</v>
      </c>
      <c r="O118" s="4">
        <f t="shared" si="27"/>
        <v>0</v>
      </c>
      <c r="P118" s="4"/>
      <c r="Q118" s="4"/>
      <c r="R118" s="4">
        <f t="shared" si="26"/>
        <v>4</v>
      </c>
      <c r="S118" s="16">
        <v>0.74440217895064908</v>
      </c>
    </row>
    <row r="119" spans="4:19" x14ac:dyDescent="0.25">
      <c r="D119" s="38">
        <v>0.57497035590098511</v>
      </c>
      <c r="E119" s="4">
        <v>113</v>
      </c>
      <c r="F119" s="4">
        <f t="shared" si="20"/>
        <v>2</v>
      </c>
      <c r="G119" s="4">
        <f t="shared" si="24"/>
        <v>259</v>
      </c>
      <c r="H119" s="4">
        <f t="shared" si="22"/>
        <v>261</v>
      </c>
      <c r="I119" s="4">
        <f t="shared" si="23"/>
        <v>253</v>
      </c>
      <c r="J119" s="4" t="str">
        <f t="shared" si="25"/>
        <v>Server 2</v>
      </c>
      <c r="K119" s="4">
        <f t="shared" si="14"/>
        <v>4</v>
      </c>
      <c r="L119" s="4">
        <f t="shared" si="15"/>
        <v>259</v>
      </c>
      <c r="M119" s="7" t="str">
        <f t="shared" si="16"/>
        <v>-</v>
      </c>
      <c r="N119" s="7">
        <f t="shared" si="17"/>
        <v>263</v>
      </c>
      <c r="O119" s="4">
        <f t="shared" si="27"/>
        <v>0</v>
      </c>
      <c r="P119" s="4"/>
      <c r="Q119" s="4"/>
      <c r="R119" s="4">
        <f t="shared" si="26"/>
        <v>4</v>
      </c>
      <c r="S119" s="16">
        <v>0.55983165066027718</v>
      </c>
    </row>
    <row r="120" spans="4:19" x14ac:dyDescent="0.25">
      <c r="D120" s="38">
        <v>0.82752278580068839</v>
      </c>
      <c r="E120" s="4">
        <v>114</v>
      </c>
      <c r="F120" s="4">
        <f t="shared" si="20"/>
        <v>3</v>
      </c>
      <c r="G120" s="4">
        <f t="shared" si="24"/>
        <v>262</v>
      </c>
      <c r="H120" s="4">
        <f t="shared" si="22"/>
        <v>261</v>
      </c>
      <c r="I120" s="4">
        <f t="shared" si="23"/>
        <v>263</v>
      </c>
      <c r="J120" s="4" t="str">
        <f t="shared" si="25"/>
        <v>Server 1</v>
      </c>
      <c r="K120" s="4">
        <f t="shared" si="14"/>
        <v>5</v>
      </c>
      <c r="L120" s="4">
        <f t="shared" si="15"/>
        <v>262</v>
      </c>
      <c r="M120" s="7">
        <f t="shared" si="16"/>
        <v>267</v>
      </c>
      <c r="N120" s="7" t="str">
        <f t="shared" si="17"/>
        <v>-</v>
      </c>
      <c r="O120" s="4">
        <f t="shared" si="27"/>
        <v>0</v>
      </c>
      <c r="P120" s="4"/>
      <c r="Q120" s="4"/>
      <c r="R120" s="4">
        <f t="shared" si="26"/>
        <v>5</v>
      </c>
      <c r="S120" s="16">
        <v>0.88330845931015634</v>
      </c>
    </row>
    <row r="121" spans="4:19" x14ac:dyDescent="0.25">
      <c r="D121" s="38">
        <v>0.26304614781698088</v>
      </c>
      <c r="E121" s="4">
        <v>115</v>
      </c>
      <c r="F121" s="4">
        <f t="shared" si="20"/>
        <v>2</v>
      </c>
      <c r="G121" s="4">
        <f t="shared" si="24"/>
        <v>264</v>
      </c>
      <c r="H121" s="4">
        <f t="shared" si="22"/>
        <v>267</v>
      </c>
      <c r="I121" s="4">
        <f t="shared" si="23"/>
        <v>263</v>
      </c>
      <c r="J121" s="4" t="str">
        <f t="shared" si="25"/>
        <v>Server 2</v>
      </c>
      <c r="K121" s="4">
        <f t="shared" si="14"/>
        <v>4</v>
      </c>
      <c r="L121" s="4">
        <f t="shared" si="15"/>
        <v>264</v>
      </c>
      <c r="M121" s="7" t="str">
        <f t="shared" si="16"/>
        <v>-</v>
      </c>
      <c r="N121" s="7">
        <f t="shared" si="17"/>
        <v>268</v>
      </c>
      <c r="O121" s="4">
        <f t="shared" si="27"/>
        <v>0</v>
      </c>
      <c r="P121" s="4"/>
      <c r="Q121" s="4"/>
      <c r="R121" s="4">
        <f t="shared" si="26"/>
        <v>4</v>
      </c>
      <c r="S121" s="16">
        <v>0.53014083371152809</v>
      </c>
    </row>
    <row r="122" spans="4:19" x14ac:dyDescent="0.25">
      <c r="D122" s="38">
        <v>0.17362591928383952</v>
      </c>
      <c r="E122" s="4">
        <v>116</v>
      </c>
      <c r="F122" s="4">
        <f t="shared" si="20"/>
        <v>1</v>
      </c>
      <c r="G122" s="4">
        <f t="shared" si="24"/>
        <v>265</v>
      </c>
      <c r="H122" s="4">
        <f t="shared" si="22"/>
        <v>267</v>
      </c>
      <c r="I122" s="4">
        <f t="shared" si="23"/>
        <v>268</v>
      </c>
      <c r="J122" s="4" t="str">
        <f t="shared" si="25"/>
        <v>Server 1</v>
      </c>
      <c r="K122" s="4">
        <f t="shared" si="14"/>
        <v>4</v>
      </c>
      <c r="L122" s="4">
        <f t="shared" si="15"/>
        <v>267</v>
      </c>
      <c r="M122" s="7">
        <f t="shared" si="16"/>
        <v>271</v>
      </c>
      <c r="N122" s="7" t="str">
        <f t="shared" si="17"/>
        <v>-</v>
      </c>
      <c r="O122" s="4">
        <f t="shared" si="27"/>
        <v>2</v>
      </c>
      <c r="P122" s="4"/>
      <c r="Q122" s="4"/>
      <c r="R122" s="4">
        <f t="shared" si="26"/>
        <v>6</v>
      </c>
      <c r="S122" s="16">
        <v>0.79387144655104525</v>
      </c>
    </row>
    <row r="123" spans="4:19" x14ac:dyDescent="0.25">
      <c r="D123" s="38">
        <v>0.88664687034485345</v>
      </c>
      <c r="E123" s="4">
        <v>117</v>
      </c>
      <c r="F123" s="4">
        <f t="shared" si="20"/>
        <v>4</v>
      </c>
      <c r="G123" s="4">
        <f t="shared" si="24"/>
        <v>269</v>
      </c>
      <c r="H123" s="4">
        <f t="shared" si="22"/>
        <v>271</v>
      </c>
      <c r="I123" s="4">
        <f t="shared" si="23"/>
        <v>268</v>
      </c>
      <c r="J123" s="4" t="str">
        <f t="shared" si="25"/>
        <v>Server 2</v>
      </c>
      <c r="K123" s="4">
        <f t="shared" si="14"/>
        <v>4</v>
      </c>
      <c r="L123" s="4">
        <f t="shared" si="15"/>
        <v>269</v>
      </c>
      <c r="M123" s="7" t="str">
        <f t="shared" si="16"/>
        <v>-</v>
      </c>
      <c r="N123" s="7">
        <f t="shared" si="17"/>
        <v>273</v>
      </c>
      <c r="O123" s="4">
        <f t="shared" si="27"/>
        <v>0</v>
      </c>
      <c r="P123" s="4"/>
      <c r="Q123" s="4"/>
      <c r="R123" s="4">
        <f t="shared" si="26"/>
        <v>4</v>
      </c>
      <c r="S123" s="16">
        <v>0.4036497195323423</v>
      </c>
    </row>
    <row r="124" spans="4:19" x14ac:dyDescent="0.25">
      <c r="D124" s="38">
        <v>0.22157845944032939</v>
      </c>
      <c r="E124" s="4">
        <v>118</v>
      </c>
      <c r="F124" s="4">
        <f t="shared" si="20"/>
        <v>1</v>
      </c>
      <c r="G124" s="4">
        <f t="shared" si="24"/>
        <v>270</v>
      </c>
      <c r="H124" s="4">
        <f t="shared" si="22"/>
        <v>271</v>
      </c>
      <c r="I124" s="4">
        <f t="shared" si="23"/>
        <v>273</v>
      </c>
      <c r="J124" s="4" t="str">
        <f t="shared" si="25"/>
        <v>Server 1</v>
      </c>
      <c r="K124" s="4">
        <f t="shared" si="14"/>
        <v>4</v>
      </c>
      <c r="L124" s="4">
        <f t="shared" si="15"/>
        <v>271</v>
      </c>
      <c r="M124" s="7">
        <f t="shared" si="16"/>
        <v>275</v>
      </c>
      <c r="N124" s="7" t="str">
        <f t="shared" si="17"/>
        <v>-</v>
      </c>
      <c r="O124" s="4">
        <f t="shared" si="27"/>
        <v>1</v>
      </c>
      <c r="P124" s="4"/>
      <c r="Q124" s="4"/>
      <c r="R124" s="4">
        <f t="shared" si="26"/>
        <v>5</v>
      </c>
      <c r="S124" s="16">
        <v>0.73801000448664467</v>
      </c>
    </row>
    <row r="125" spans="4:19" x14ac:dyDescent="0.25">
      <c r="D125" s="38">
        <v>0.5015950947469805</v>
      </c>
      <c r="E125" s="4">
        <v>119</v>
      </c>
      <c r="F125" s="4">
        <f t="shared" si="20"/>
        <v>2</v>
      </c>
      <c r="G125" s="4">
        <f t="shared" si="24"/>
        <v>272</v>
      </c>
      <c r="H125" s="4">
        <f t="shared" si="22"/>
        <v>275</v>
      </c>
      <c r="I125" s="4">
        <f t="shared" si="23"/>
        <v>273</v>
      </c>
      <c r="J125" s="4" t="str">
        <f t="shared" si="25"/>
        <v>Server 2</v>
      </c>
      <c r="K125" s="4">
        <f t="shared" si="14"/>
        <v>6</v>
      </c>
      <c r="L125" s="4">
        <f t="shared" si="15"/>
        <v>273</v>
      </c>
      <c r="M125" s="7" t="str">
        <f t="shared" si="16"/>
        <v>-</v>
      </c>
      <c r="N125" s="7">
        <f t="shared" si="17"/>
        <v>279</v>
      </c>
      <c r="O125" s="4">
        <f t="shared" si="27"/>
        <v>1</v>
      </c>
      <c r="P125" s="4"/>
      <c r="Q125" s="4"/>
      <c r="R125" s="4">
        <f t="shared" si="26"/>
        <v>7</v>
      </c>
      <c r="S125" s="16">
        <v>0.92557990024303161</v>
      </c>
    </row>
    <row r="126" spans="4:19" x14ac:dyDescent="0.25">
      <c r="D126" s="38">
        <v>0.22693424230923154</v>
      </c>
      <c r="E126" s="4">
        <v>120</v>
      </c>
      <c r="F126" s="4">
        <f t="shared" si="20"/>
        <v>1</v>
      </c>
      <c r="G126" s="4">
        <f t="shared" si="24"/>
        <v>273</v>
      </c>
      <c r="H126" s="4">
        <f t="shared" si="22"/>
        <v>275</v>
      </c>
      <c r="I126" s="4">
        <f t="shared" si="23"/>
        <v>279</v>
      </c>
      <c r="J126" s="4" t="str">
        <f t="shared" si="25"/>
        <v>Server 1</v>
      </c>
      <c r="K126" s="4">
        <f t="shared" si="14"/>
        <v>4</v>
      </c>
      <c r="L126" s="4">
        <f t="shared" si="15"/>
        <v>275</v>
      </c>
      <c r="M126" s="7">
        <f t="shared" si="16"/>
        <v>279</v>
      </c>
      <c r="N126" s="7" t="str">
        <f t="shared" si="17"/>
        <v>-</v>
      </c>
      <c r="O126" s="4">
        <f t="shared" si="27"/>
        <v>2</v>
      </c>
      <c r="P126" s="4"/>
      <c r="Q126" s="4"/>
      <c r="R126" s="4">
        <f t="shared" si="26"/>
        <v>6</v>
      </c>
      <c r="S126" s="16">
        <v>0.640839242137902</v>
      </c>
    </row>
    <row r="127" spans="4:19" x14ac:dyDescent="0.25">
      <c r="D127" s="38">
        <v>3.997962206177208E-3</v>
      </c>
      <c r="E127" s="4">
        <v>121</v>
      </c>
      <c r="F127" s="4">
        <f t="shared" si="20"/>
        <v>1</v>
      </c>
      <c r="G127" s="4">
        <f t="shared" si="24"/>
        <v>274</v>
      </c>
      <c r="H127" s="4">
        <f t="shared" si="22"/>
        <v>279</v>
      </c>
      <c r="I127" s="4">
        <f t="shared" si="23"/>
        <v>279</v>
      </c>
      <c r="J127" s="4" t="str">
        <f t="shared" si="25"/>
        <v>Server 1</v>
      </c>
      <c r="K127" s="4">
        <f t="shared" si="14"/>
        <v>2</v>
      </c>
      <c r="L127" s="4">
        <f t="shared" si="15"/>
        <v>279</v>
      </c>
      <c r="M127" s="7">
        <f t="shared" si="16"/>
        <v>281</v>
      </c>
      <c r="N127" s="7" t="str">
        <f t="shared" si="17"/>
        <v>-</v>
      </c>
      <c r="O127" s="4">
        <f t="shared" si="27"/>
        <v>5</v>
      </c>
      <c r="P127" s="4"/>
      <c r="Q127" s="4"/>
      <c r="R127" s="4">
        <f t="shared" si="26"/>
        <v>7</v>
      </c>
      <c r="S127" s="16">
        <v>0.17336860763928019</v>
      </c>
    </row>
    <row r="128" spans="4:19" x14ac:dyDescent="0.25">
      <c r="D128" s="38">
        <v>0.89635417625704805</v>
      </c>
      <c r="E128" s="4">
        <v>122</v>
      </c>
      <c r="F128" s="4">
        <f t="shared" si="20"/>
        <v>4</v>
      </c>
      <c r="G128" s="4">
        <f t="shared" si="24"/>
        <v>278</v>
      </c>
      <c r="H128" s="4">
        <f t="shared" si="22"/>
        <v>281</v>
      </c>
      <c r="I128" s="4">
        <f t="shared" si="23"/>
        <v>279</v>
      </c>
      <c r="J128" s="4" t="str">
        <f t="shared" si="25"/>
        <v>Server 2</v>
      </c>
      <c r="K128" s="4">
        <f t="shared" si="14"/>
        <v>5</v>
      </c>
      <c r="L128" s="4">
        <f t="shared" si="15"/>
        <v>279</v>
      </c>
      <c r="M128" s="7" t="str">
        <f t="shared" si="16"/>
        <v>-</v>
      </c>
      <c r="N128" s="7">
        <f t="shared" si="17"/>
        <v>284</v>
      </c>
      <c r="O128" s="4">
        <f t="shared" si="27"/>
        <v>1</v>
      </c>
      <c r="P128" s="4"/>
      <c r="Q128" s="4"/>
      <c r="R128" s="4">
        <f t="shared" si="26"/>
        <v>6</v>
      </c>
      <c r="S128" s="16">
        <v>0.61622273088420199</v>
      </c>
    </row>
    <row r="129" spans="4:19" x14ac:dyDescent="0.25">
      <c r="D129" s="38">
        <v>0.66530781031609509</v>
      </c>
      <c r="E129" s="4">
        <v>123</v>
      </c>
      <c r="F129" s="4">
        <f t="shared" si="20"/>
        <v>3</v>
      </c>
      <c r="G129" s="4">
        <f t="shared" si="24"/>
        <v>281</v>
      </c>
      <c r="H129" s="4">
        <f t="shared" si="22"/>
        <v>281</v>
      </c>
      <c r="I129" s="4">
        <f t="shared" si="23"/>
        <v>284</v>
      </c>
      <c r="J129" s="4" t="str">
        <f t="shared" si="25"/>
        <v>Server 1</v>
      </c>
      <c r="K129" s="4">
        <f t="shared" si="14"/>
        <v>2</v>
      </c>
      <c r="L129" s="4">
        <f t="shared" si="15"/>
        <v>281</v>
      </c>
      <c r="M129" s="7">
        <f t="shared" si="16"/>
        <v>283</v>
      </c>
      <c r="N129" s="7" t="str">
        <f t="shared" si="17"/>
        <v>-</v>
      </c>
      <c r="O129" s="4">
        <f t="shared" si="27"/>
        <v>0</v>
      </c>
      <c r="P129" s="4"/>
      <c r="Q129" s="4"/>
      <c r="R129" s="4">
        <f t="shared" si="26"/>
        <v>2</v>
      </c>
      <c r="S129" s="16">
        <v>0.2457737373432124</v>
      </c>
    </row>
    <row r="130" spans="4:19" x14ac:dyDescent="0.25">
      <c r="D130" s="38">
        <v>0.16794438794354127</v>
      </c>
      <c r="E130" s="4">
        <v>124</v>
      </c>
      <c r="F130" s="4">
        <f t="shared" si="20"/>
        <v>1</v>
      </c>
      <c r="G130" s="4">
        <f t="shared" si="24"/>
        <v>282</v>
      </c>
      <c r="H130" s="4">
        <f t="shared" si="22"/>
        <v>283</v>
      </c>
      <c r="I130" s="4">
        <f t="shared" si="23"/>
        <v>284</v>
      </c>
      <c r="J130" s="4" t="str">
        <f t="shared" si="25"/>
        <v>Server 1</v>
      </c>
      <c r="K130" s="4">
        <f t="shared" si="14"/>
        <v>2</v>
      </c>
      <c r="L130" s="4">
        <f t="shared" si="15"/>
        <v>283</v>
      </c>
      <c r="M130" s="7">
        <f t="shared" si="16"/>
        <v>285</v>
      </c>
      <c r="N130" s="7" t="str">
        <f t="shared" si="17"/>
        <v>-</v>
      </c>
      <c r="O130" s="4">
        <f t="shared" si="27"/>
        <v>1</v>
      </c>
      <c r="P130" s="4"/>
      <c r="Q130" s="4"/>
      <c r="R130" s="4">
        <f t="shared" si="26"/>
        <v>3</v>
      </c>
      <c r="S130" s="16">
        <v>0.2956840823850011</v>
      </c>
    </row>
    <row r="131" spans="4:19" x14ac:dyDescent="0.25">
      <c r="D131" s="38">
        <v>0.7814205241861053</v>
      </c>
      <c r="E131" s="4">
        <v>125</v>
      </c>
      <c r="F131" s="4">
        <f t="shared" si="20"/>
        <v>3</v>
      </c>
      <c r="G131" s="4">
        <f t="shared" si="24"/>
        <v>285</v>
      </c>
      <c r="H131" s="4">
        <f t="shared" si="22"/>
        <v>285</v>
      </c>
      <c r="I131" s="4">
        <f t="shared" si="23"/>
        <v>284</v>
      </c>
      <c r="J131" s="4" t="str">
        <f t="shared" si="25"/>
        <v>Server 1</v>
      </c>
      <c r="K131" s="4">
        <f t="shared" si="14"/>
        <v>3</v>
      </c>
      <c r="L131" s="4">
        <f t="shared" si="15"/>
        <v>285</v>
      </c>
      <c r="M131" s="7">
        <f t="shared" si="16"/>
        <v>288</v>
      </c>
      <c r="N131" s="7" t="str">
        <f t="shared" si="17"/>
        <v>-</v>
      </c>
      <c r="O131" s="4">
        <f t="shared" si="27"/>
        <v>0</v>
      </c>
      <c r="P131" s="4"/>
      <c r="Q131" s="4"/>
      <c r="R131" s="4">
        <f t="shared" si="26"/>
        <v>3</v>
      </c>
      <c r="S131" s="16">
        <v>0.3953812401144734</v>
      </c>
    </row>
    <row r="132" spans="4:19" x14ac:dyDescent="0.25">
      <c r="D132" s="38">
        <v>0.34994491070598821</v>
      </c>
      <c r="E132" s="4">
        <v>126</v>
      </c>
      <c r="F132" s="4">
        <f t="shared" si="20"/>
        <v>2</v>
      </c>
      <c r="G132" s="4">
        <f t="shared" si="24"/>
        <v>287</v>
      </c>
      <c r="H132" s="4">
        <f t="shared" si="22"/>
        <v>288</v>
      </c>
      <c r="I132" s="4">
        <f t="shared" si="23"/>
        <v>284</v>
      </c>
      <c r="J132" s="4" t="str">
        <f t="shared" si="25"/>
        <v>Server 2</v>
      </c>
      <c r="K132" s="4">
        <f t="shared" si="14"/>
        <v>3</v>
      </c>
      <c r="L132" s="4">
        <f t="shared" si="15"/>
        <v>287</v>
      </c>
      <c r="M132" s="7" t="str">
        <f t="shared" si="16"/>
        <v>-</v>
      </c>
      <c r="N132" s="7">
        <f t="shared" si="17"/>
        <v>290</v>
      </c>
      <c r="O132" s="4">
        <f t="shared" si="27"/>
        <v>0</v>
      </c>
      <c r="P132" s="4"/>
      <c r="Q132" s="4"/>
      <c r="R132" s="4">
        <f t="shared" si="26"/>
        <v>3</v>
      </c>
      <c r="S132" s="16">
        <v>0.33021205844297719</v>
      </c>
    </row>
    <row r="133" spans="4:19" x14ac:dyDescent="0.25">
      <c r="D133" s="38">
        <v>0.11300317229558898</v>
      </c>
      <c r="E133" s="4">
        <v>127</v>
      </c>
      <c r="F133" s="4">
        <f t="shared" si="20"/>
        <v>1</v>
      </c>
      <c r="G133" s="4">
        <f t="shared" si="24"/>
        <v>288</v>
      </c>
      <c r="H133" s="4">
        <f t="shared" si="22"/>
        <v>288</v>
      </c>
      <c r="I133" s="4">
        <f t="shared" si="23"/>
        <v>290</v>
      </c>
      <c r="J133" s="4" t="str">
        <f t="shared" si="25"/>
        <v>Server 1</v>
      </c>
      <c r="K133" s="4">
        <f t="shared" si="14"/>
        <v>3</v>
      </c>
      <c r="L133" s="4">
        <f t="shared" si="15"/>
        <v>288</v>
      </c>
      <c r="M133" s="7">
        <f t="shared" si="16"/>
        <v>291</v>
      </c>
      <c r="N133" s="7" t="str">
        <f t="shared" si="17"/>
        <v>-</v>
      </c>
      <c r="O133" s="4">
        <f t="shared" si="27"/>
        <v>0</v>
      </c>
      <c r="P133" s="4"/>
      <c r="Q133" s="4"/>
      <c r="R133" s="4">
        <f t="shared" si="26"/>
        <v>3</v>
      </c>
      <c r="S133" s="16">
        <v>0.49818913248208396</v>
      </c>
    </row>
    <row r="134" spans="4:19" x14ac:dyDescent="0.25">
      <c r="D134" s="38">
        <v>0.63570121628129272</v>
      </c>
      <c r="E134" s="4">
        <v>128</v>
      </c>
      <c r="F134" s="4">
        <f t="shared" si="20"/>
        <v>2</v>
      </c>
      <c r="G134" s="4">
        <f t="shared" si="24"/>
        <v>290</v>
      </c>
      <c r="H134" s="4">
        <f t="shared" si="22"/>
        <v>291</v>
      </c>
      <c r="I134" s="4">
        <f t="shared" si="23"/>
        <v>290</v>
      </c>
      <c r="J134" s="4" t="str">
        <f t="shared" si="25"/>
        <v>Server 2</v>
      </c>
      <c r="K134" s="4">
        <f t="shared" si="14"/>
        <v>3</v>
      </c>
      <c r="L134" s="4">
        <f t="shared" si="15"/>
        <v>290</v>
      </c>
      <c r="M134" s="7" t="str">
        <f t="shared" si="16"/>
        <v>-</v>
      </c>
      <c r="N134" s="7">
        <f t="shared" si="17"/>
        <v>293</v>
      </c>
      <c r="O134" s="4">
        <f t="shared" si="27"/>
        <v>0</v>
      </c>
      <c r="P134" s="4"/>
      <c r="Q134" s="4"/>
      <c r="R134" s="4">
        <f t="shared" si="26"/>
        <v>3</v>
      </c>
      <c r="S134" s="16">
        <v>0.104635954463561</v>
      </c>
    </row>
    <row r="135" spans="4:19" x14ac:dyDescent="0.25">
      <c r="D135" s="38">
        <v>0.90677453448437095</v>
      </c>
      <c r="E135" s="4">
        <v>129</v>
      </c>
      <c r="F135" s="4">
        <f t="shared" si="20"/>
        <v>4</v>
      </c>
      <c r="G135" s="4">
        <f t="shared" si="24"/>
        <v>294</v>
      </c>
      <c r="H135" s="4">
        <f t="shared" si="22"/>
        <v>291</v>
      </c>
      <c r="I135" s="4">
        <f t="shared" si="23"/>
        <v>293</v>
      </c>
      <c r="J135" s="4" t="str">
        <f t="shared" si="25"/>
        <v>Server 1</v>
      </c>
      <c r="K135" s="4">
        <f t="shared" si="14"/>
        <v>5</v>
      </c>
      <c r="L135" s="4">
        <f t="shared" si="15"/>
        <v>294</v>
      </c>
      <c r="M135" s="7">
        <f t="shared" si="16"/>
        <v>299</v>
      </c>
      <c r="N135" s="7" t="str">
        <f t="shared" si="17"/>
        <v>-</v>
      </c>
      <c r="O135" s="4">
        <f t="shared" si="27"/>
        <v>0</v>
      </c>
      <c r="P135" s="4"/>
      <c r="Q135" s="4"/>
      <c r="R135" s="4">
        <f t="shared" si="26"/>
        <v>5</v>
      </c>
      <c r="S135" s="16">
        <v>0.98048375434467117</v>
      </c>
    </row>
    <row r="136" spans="4:19" x14ac:dyDescent="0.25">
      <c r="D136" s="38">
        <v>0.36945363799881947</v>
      </c>
      <c r="E136" s="4">
        <v>130</v>
      </c>
      <c r="F136" s="4">
        <f t="shared" si="20"/>
        <v>2</v>
      </c>
      <c r="G136" s="4">
        <f t="shared" si="24"/>
        <v>296</v>
      </c>
      <c r="H136" s="4">
        <f t="shared" si="22"/>
        <v>299</v>
      </c>
      <c r="I136" s="4">
        <f t="shared" si="23"/>
        <v>293</v>
      </c>
      <c r="J136" s="4" t="str">
        <f t="shared" si="25"/>
        <v>Server 2</v>
      </c>
      <c r="K136" s="4">
        <f t="shared" ref="K136:K199" si="28">ServiceTime2(J136,S136)</f>
        <v>6</v>
      </c>
      <c r="L136" s="4">
        <f t="shared" ref="L136:L199" si="29">MAX(HLOOKUP(J136,$H$6:$I$999,E136+1,FALSE),G136)</f>
        <v>296</v>
      </c>
      <c r="M136" s="7" t="str">
        <f t="shared" ref="M136:M199" si="30">IF(J136="Server 1",K136+MAX(H136,G136),"-")</f>
        <v>-</v>
      </c>
      <c r="N136" s="7">
        <f t="shared" ref="N136:N199" si="31">IF(J136="Server 2",K136+MAX(I136,G136),"-")</f>
        <v>302</v>
      </c>
      <c r="O136" s="4">
        <f t="shared" si="27"/>
        <v>0</v>
      </c>
      <c r="P136" s="4"/>
      <c r="Q136" s="4"/>
      <c r="R136" s="4">
        <f t="shared" si="26"/>
        <v>6</v>
      </c>
      <c r="S136" s="16">
        <v>0.81224667391376781</v>
      </c>
    </row>
    <row r="137" spans="4:19" x14ac:dyDescent="0.25">
      <c r="D137" s="38">
        <v>8.8491510039818699E-3</v>
      </c>
      <c r="E137" s="4">
        <v>131</v>
      </c>
      <c r="F137" s="4">
        <f t="shared" ref="F137:F200" si="32">InterArivalTime(D137)</f>
        <v>1</v>
      </c>
      <c r="G137" s="4">
        <f t="shared" si="24"/>
        <v>297</v>
      </c>
      <c r="H137" s="4">
        <f t="shared" si="22"/>
        <v>299</v>
      </c>
      <c r="I137" s="4">
        <f t="shared" si="23"/>
        <v>302</v>
      </c>
      <c r="J137" s="4" t="str">
        <f t="shared" si="25"/>
        <v>Server 1</v>
      </c>
      <c r="K137" s="4">
        <f t="shared" si="28"/>
        <v>4</v>
      </c>
      <c r="L137" s="4">
        <f t="shared" si="29"/>
        <v>299</v>
      </c>
      <c r="M137" s="7">
        <f t="shared" si="30"/>
        <v>303</v>
      </c>
      <c r="N137" s="7" t="str">
        <f t="shared" si="31"/>
        <v>-</v>
      </c>
      <c r="O137" s="4">
        <f t="shared" si="27"/>
        <v>2</v>
      </c>
      <c r="P137" s="4"/>
      <c r="Q137" s="4"/>
      <c r="R137" s="4">
        <f t="shared" si="26"/>
        <v>6</v>
      </c>
      <c r="S137" s="16">
        <v>0.75376256434416788</v>
      </c>
    </row>
    <row r="138" spans="4:19" x14ac:dyDescent="0.25">
      <c r="D138" s="38">
        <v>0.66365802737713386</v>
      </c>
      <c r="E138" s="4">
        <v>132</v>
      </c>
      <c r="F138" s="4">
        <f t="shared" si="32"/>
        <v>3</v>
      </c>
      <c r="G138" s="4">
        <f t="shared" si="24"/>
        <v>300</v>
      </c>
      <c r="H138" s="4">
        <f t="shared" ref="H138:H201" si="33">ServerAvailable1(H137,I137,G137,K137)</f>
        <v>303</v>
      </c>
      <c r="I138" s="4">
        <f t="shared" ref="I138:I201" si="34">ServerAvailable2(I137,H137,G137,K137)</f>
        <v>302</v>
      </c>
      <c r="J138" s="4" t="str">
        <f t="shared" si="25"/>
        <v>Server 2</v>
      </c>
      <c r="K138" s="4">
        <f t="shared" si="28"/>
        <v>3</v>
      </c>
      <c r="L138" s="4">
        <f t="shared" si="29"/>
        <v>302</v>
      </c>
      <c r="M138" s="7" t="str">
        <f t="shared" si="30"/>
        <v>-</v>
      </c>
      <c r="N138" s="7">
        <f t="shared" si="31"/>
        <v>305</v>
      </c>
      <c r="O138" s="4">
        <f t="shared" si="27"/>
        <v>2</v>
      </c>
      <c r="P138" s="4"/>
      <c r="Q138" s="4"/>
      <c r="R138" s="4">
        <f t="shared" si="26"/>
        <v>5</v>
      </c>
      <c r="S138" s="16">
        <v>0.20380811645542796</v>
      </c>
    </row>
    <row r="139" spans="4:19" x14ac:dyDescent="0.25">
      <c r="D139" s="38">
        <v>0.93114208192329218</v>
      </c>
      <c r="E139" s="4">
        <v>133</v>
      </c>
      <c r="F139" s="4">
        <f t="shared" si="32"/>
        <v>4</v>
      </c>
      <c r="G139" s="4">
        <f t="shared" si="24"/>
        <v>304</v>
      </c>
      <c r="H139" s="4">
        <f t="shared" si="33"/>
        <v>303</v>
      </c>
      <c r="I139" s="4">
        <f t="shared" si="34"/>
        <v>305</v>
      </c>
      <c r="J139" s="4" t="str">
        <f t="shared" si="25"/>
        <v>Server 1</v>
      </c>
      <c r="K139" s="4">
        <f t="shared" si="28"/>
        <v>2</v>
      </c>
      <c r="L139" s="4">
        <f t="shared" si="29"/>
        <v>304</v>
      </c>
      <c r="M139" s="7">
        <f t="shared" si="30"/>
        <v>306</v>
      </c>
      <c r="N139" s="7" t="str">
        <f t="shared" si="31"/>
        <v>-</v>
      </c>
      <c r="O139" s="4">
        <f t="shared" si="27"/>
        <v>0</v>
      </c>
      <c r="P139" s="4"/>
      <c r="Q139" s="4"/>
      <c r="R139" s="4">
        <f t="shared" si="26"/>
        <v>2</v>
      </c>
      <c r="S139" s="16">
        <v>0.15805472580230517</v>
      </c>
    </row>
    <row r="140" spans="4:19" x14ac:dyDescent="0.25">
      <c r="D140" s="38">
        <v>0.4591111985352051</v>
      </c>
      <c r="E140" s="4">
        <v>134</v>
      </c>
      <c r="F140" s="4">
        <f t="shared" si="32"/>
        <v>2</v>
      </c>
      <c r="G140" s="4">
        <f t="shared" si="24"/>
        <v>306</v>
      </c>
      <c r="H140" s="4">
        <f t="shared" si="33"/>
        <v>306</v>
      </c>
      <c r="I140" s="4">
        <f t="shared" si="34"/>
        <v>305</v>
      </c>
      <c r="J140" s="4" t="str">
        <f t="shared" si="25"/>
        <v>Server 1</v>
      </c>
      <c r="K140" s="4">
        <f t="shared" si="28"/>
        <v>5</v>
      </c>
      <c r="L140" s="4">
        <f t="shared" si="29"/>
        <v>306</v>
      </c>
      <c r="M140" s="7">
        <f t="shared" si="30"/>
        <v>311</v>
      </c>
      <c r="N140" s="7" t="str">
        <f t="shared" si="31"/>
        <v>-</v>
      </c>
      <c r="O140" s="4">
        <f t="shared" si="27"/>
        <v>0</v>
      </c>
      <c r="P140" s="4"/>
      <c r="Q140" s="4"/>
      <c r="R140" s="4">
        <f t="shared" si="26"/>
        <v>5</v>
      </c>
      <c r="S140" s="16">
        <v>0.85354341592311644</v>
      </c>
    </row>
    <row r="141" spans="4:19" x14ac:dyDescent="0.25">
      <c r="D141" s="38">
        <v>6.3588206595238228E-2</v>
      </c>
      <c r="E141" s="4">
        <v>135</v>
      </c>
      <c r="F141" s="4">
        <f t="shared" si="32"/>
        <v>1</v>
      </c>
      <c r="G141" s="4">
        <f t="shared" si="24"/>
        <v>307</v>
      </c>
      <c r="H141" s="4">
        <f t="shared" si="33"/>
        <v>311</v>
      </c>
      <c r="I141" s="4">
        <f t="shared" si="34"/>
        <v>305</v>
      </c>
      <c r="J141" s="4" t="str">
        <f t="shared" si="25"/>
        <v>Server 2</v>
      </c>
      <c r="K141" s="4">
        <f t="shared" si="28"/>
        <v>6</v>
      </c>
      <c r="L141" s="4">
        <f t="shared" si="29"/>
        <v>307</v>
      </c>
      <c r="M141" s="7" t="str">
        <f t="shared" si="30"/>
        <v>-</v>
      </c>
      <c r="N141" s="7">
        <f t="shared" si="31"/>
        <v>313</v>
      </c>
      <c r="O141" s="4">
        <f t="shared" si="27"/>
        <v>0</v>
      </c>
      <c r="P141" s="4"/>
      <c r="Q141" s="4"/>
      <c r="R141" s="4">
        <f t="shared" si="26"/>
        <v>6</v>
      </c>
      <c r="S141" s="16">
        <v>0.91914844883437496</v>
      </c>
    </row>
    <row r="142" spans="4:19" x14ac:dyDescent="0.25">
      <c r="D142" s="38">
        <v>9.6023463428938305E-2</v>
      </c>
      <c r="E142" s="4">
        <v>136</v>
      </c>
      <c r="F142" s="4">
        <f t="shared" si="32"/>
        <v>1</v>
      </c>
      <c r="G142" s="4">
        <f t="shared" si="24"/>
        <v>308</v>
      </c>
      <c r="H142" s="4">
        <f t="shared" si="33"/>
        <v>311</v>
      </c>
      <c r="I142" s="4">
        <f t="shared" si="34"/>
        <v>313</v>
      </c>
      <c r="J142" s="4" t="str">
        <f t="shared" si="25"/>
        <v>Server 1</v>
      </c>
      <c r="K142" s="4">
        <f t="shared" si="28"/>
        <v>2</v>
      </c>
      <c r="L142" s="4">
        <f t="shared" si="29"/>
        <v>311</v>
      </c>
      <c r="M142" s="7">
        <f t="shared" si="30"/>
        <v>313</v>
      </c>
      <c r="N142" s="7" t="str">
        <f t="shared" si="31"/>
        <v>-</v>
      </c>
      <c r="O142" s="4">
        <f t="shared" si="27"/>
        <v>3</v>
      </c>
      <c r="P142" s="4"/>
      <c r="Q142" s="4"/>
      <c r="R142" s="4">
        <f t="shared" si="26"/>
        <v>5</v>
      </c>
      <c r="S142" s="16">
        <v>0.13818914117927505</v>
      </c>
    </row>
    <row r="143" spans="4:19" x14ac:dyDescent="0.25">
      <c r="D143" s="38">
        <v>0.36647218606552157</v>
      </c>
      <c r="E143" s="4">
        <v>137</v>
      </c>
      <c r="F143" s="4">
        <f t="shared" si="32"/>
        <v>2</v>
      </c>
      <c r="G143" s="4">
        <f t="shared" si="24"/>
        <v>310</v>
      </c>
      <c r="H143" s="4">
        <f t="shared" si="33"/>
        <v>313</v>
      </c>
      <c r="I143" s="4">
        <f t="shared" si="34"/>
        <v>313</v>
      </c>
      <c r="J143" s="4" t="str">
        <f t="shared" si="25"/>
        <v>Server 1</v>
      </c>
      <c r="K143" s="4">
        <f t="shared" si="28"/>
        <v>2</v>
      </c>
      <c r="L143" s="4">
        <f t="shared" si="29"/>
        <v>313</v>
      </c>
      <c r="M143" s="7">
        <f t="shared" si="30"/>
        <v>315</v>
      </c>
      <c r="N143" s="7" t="str">
        <f t="shared" si="31"/>
        <v>-</v>
      </c>
      <c r="O143" s="4">
        <f t="shared" si="27"/>
        <v>3</v>
      </c>
      <c r="P143" s="4"/>
      <c r="Q143" s="4"/>
      <c r="R143" s="4">
        <f t="shared" si="26"/>
        <v>5</v>
      </c>
      <c r="S143" s="16">
        <v>0.19105033505236013</v>
      </c>
    </row>
    <row r="144" spans="4:19" x14ac:dyDescent="0.25">
      <c r="D144" s="38">
        <v>0.30259067555183661</v>
      </c>
      <c r="E144" s="4">
        <v>138</v>
      </c>
      <c r="F144" s="4">
        <f t="shared" si="32"/>
        <v>2</v>
      </c>
      <c r="G144" s="4">
        <f t="shared" si="24"/>
        <v>312</v>
      </c>
      <c r="H144" s="4">
        <f t="shared" si="33"/>
        <v>315</v>
      </c>
      <c r="I144" s="4">
        <f t="shared" si="34"/>
        <v>313</v>
      </c>
      <c r="J144" s="4" t="str">
        <f t="shared" si="25"/>
        <v>Server 2</v>
      </c>
      <c r="K144" s="4">
        <f t="shared" si="28"/>
        <v>5</v>
      </c>
      <c r="L144" s="4">
        <f t="shared" si="29"/>
        <v>313</v>
      </c>
      <c r="M144" s="7" t="str">
        <f t="shared" si="30"/>
        <v>-</v>
      </c>
      <c r="N144" s="7">
        <f t="shared" si="31"/>
        <v>318</v>
      </c>
      <c r="O144" s="4">
        <f t="shared" si="27"/>
        <v>1</v>
      </c>
      <c r="P144" s="4"/>
      <c r="Q144" s="4"/>
      <c r="R144" s="4">
        <f t="shared" si="26"/>
        <v>6</v>
      </c>
      <c r="S144" s="16">
        <v>0.73095929735317777</v>
      </c>
    </row>
    <row r="145" spans="4:19" x14ac:dyDescent="0.25">
      <c r="D145" s="38">
        <v>0.99729075014971291</v>
      </c>
      <c r="E145" s="4">
        <v>139</v>
      </c>
      <c r="F145" s="4">
        <f t="shared" si="32"/>
        <v>4</v>
      </c>
      <c r="G145" s="4">
        <f t="shared" si="24"/>
        <v>316</v>
      </c>
      <c r="H145" s="4">
        <f t="shared" si="33"/>
        <v>315</v>
      </c>
      <c r="I145" s="4">
        <f t="shared" si="34"/>
        <v>318</v>
      </c>
      <c r="J145" s="4" t="str">
        <f t="shared" si="25"/>
        <v>Server 1</v>
      </c>
      <c r="K145" s="4">
        <f t="shared" si="28"/>
        <v>2</v>
      </c>
      <c r="L145" s="4">
        <f t="shared" si="29"/>
        <v>316</v>
      </c>
      <c r="M145" s="7">
        <f t="shared" si="30"/>
        <v>318</v>
      </c>
      <c r="N145" s="7" t="str">
        <f t="shared" si="31"/>
        <v>-</v>
      </c>
      <c r="O145" s="4">
        <f t="shared" si="27"/>
        <v>0</v>
      </c>
      <c r="P145" s="4"/>
      <c r="Q145" s="4"/>
      <c r="R145" s="4">
        <f t="shared" si="26"/>
        <v>2</v>
      </c>
      <c r="S145" s="16">
        <v>0.1730322957324012</v>
      </c>
    </row>
    <row r="146" spans="4:19" x14ac:dyDescent="0.25">
      <c r="D146" s="38">
        <v>0.90042193989396568</v>
      </c>
      <c r="E146" s="4">
        <v>140</v>
      </c>
      <c r="F146" s="4">
        <f t="shared" si="32"/>
        <v>4</v>
      </c>
      <c r="G146" s="4">
        <f t="shared" si="24"/>
        <v>320</v>
      </c>
      <c r="H146" s="4">
        <f t="shared" si="33"/>
        <v>318</v>
      </c>
      <c r="I146" s="4">
        <f t="shared" si="34"/>
        <v>318</v>
      </c>
      <c r="J146" s="4" t="str">
        <f t="shared" si="25"/>
        <v>Server 1</v>
      </c>
      <c r="K146" s="4">
        <f t="shared" si="28"/>
        <v>3</v>
      </c>
      <c r="L146" s="4">
        <f t="shared" si="29"/>
        <v>320</v>
      </c>
      <c r="M146" s="7">
        <f t="shared" si="30"/>
        <v>323</v>
      </c>
      <c r="N146" s="7" t="str">
        <f t="shared" si="31"/>
        <v>-</v>
      </c>
      <c r="O146" s="4">
        <f t="shared" si="27"/>
        <v>0</v>
      </c>
      <c r="P146" s="4"/>
      <c r="Q146" s="4"/>
      <c r="R146" s="4">
        <f t="shared" si="26"/>
        <v>3</v>
      </c>
      <c r="S146" s="16">
        <v>0.5324812424917641</v>
      </c>
    </row>
    <row r="147" spans="4:19" x14ac:dyDescent="0.25">
      <c r="D147" s="38">
        <v>0.68957105232058791</v>
      </c>
      <c r="E147" s="4">
        <v>141</v>
      </c>
      <c r="F147" s="4">
        <f t="shared" si="32"/>
        <v>3</v>
      </c>
      <c r="G147" s="4">
        <f t="shared" si="24"/>
        <v>323</v>
      </c>
      <c r="H147" s="4">
        <f t="shared" si="33"/>
        <v>323</v>
      </c>
      <c r="I147" s="4">
        <f t="shared" si="34"/>
        <v>318</v>
      </c>
      <c r="J147" s="4" t="str">
        <f t="shared" si="25"/>
        <v>Server 1</v>
      </c>
      <c r="K147" s="4">
        <f t="shared" si="28"/>
        <v>4</v>
      </c>
      <c r="L147" s="4">
        <f t="shared" si="29"/>
        <v>323</v>
      </c>
      <c r="M147" s="7">
        <f t="shared" si="30"/>
        <v>327</v>
      </c>
      <c r="N147" s="7" t="str">
        <f t="shared" si="31"/>
        <v>-</v>
      </c>
      <c r="O147" s="4">
        <f t="shared" si="27"/>
        <v>0</v>
      </c>
      <c r="P147" s="4"/>
      <c r="Q147" s="4"/>
      <c r="R147" s="4">
        <f t="shared" si="26"/>
        <v>4</v>
      </c>
      <c r="S147" s="16">
        <v>0.79774093995916551</v>
      </c>
    </row>
    <row r="148" spans="4:19" x14ac:dyDescent="0.25">
      <c r="D148" s="38">
        <v>0.51304499399022652</v>
      </c>
      <c r="E148" s="4">
        <v>142</v>
      </c>
      <c r="F148" s="4">
        <f t="shared" si="32"/>
        <v>2</v>
      </c>
      <c r="G148" s="4">
        <f t="shared" si="24"/>
        <v>325</v>
      </c>
      <c r="H148" s="4">
        <f t="shared" si="33"/>
        <v>327</v>
      </c>
      <c r="I148" s="4">
        <f t="shared" si="34"/>
        <v>318</v>
      </c>
      <c r="J148" s="4" t="str">
        <f t="shared" si="25"/>
        <v>Server 2</v>
      </c>
      <c r="K148" s="4">
        <f t="shared" si="28"/>
        <v>6</v>
      </c>
      <c r="L148" s="4">
        <f t="shared" si="29"/>
        <v>325</v>
      </c>
      <c r="M148" s="7" t="str">
        <f t="shared" si="30"/>
        <v>-</v>
      </c>
      <c r="N148" s="7">
        <f t="shared" si="31"/>
        <v>331</v>
      </c>
      <c r="O148" s="4">
        <f t="shared" si="27"/>
        <v>0</v>
      </c>
      <c r="P148" s="4"/>
      <c r="Q148" s="4"/>
      <c r="R148" s="4">
        <f t="shared" si="26"/>
        <v>6</v>
      </c>
      <c r="S148" s="16">
        <v>0.8143294004364301</v>
      </c>
    </row>
    <row r="149" spans="4:19" x14ac:dyDescent="0.25">
      <c r="D149" s="38">
        <v>0.49891801346766473</v>
      </c>
      <c r="E149" s="4">
        <v>143</v>
      </c>
      <c r="F149" s="4">
        <f t="shared" si="32"/>
        <v>2</v>
      </c>
      <c r="G149" s="4">
        <f t="shared" si="24"/>
        <v>327</v>
      </c>
      <c r="H149" s="4">
        <f t="shared" si="33"/>
        <v>327</v>
      </c>
      <c r="I149" s="4">
        <f t="shared" si="34"/>
        <v>331</v>
      </c>
      <c r="J149" s="4" t="str">
        <f t="shared" si="25"/>
        <v>Server 1</v>
      </c>
      <c r="K149" s="4">
        <f t="shared" si="28"/>
        <v>2</v>
      </c>
      <c r="L149" s="4">
        <f t="shared" si="29"/>
        <v>327</v>
      </c>
      <c r="M149" s="7">
        <f t="shared" si="30"/>
        <v>329</v>
      </c>
      <c r="N149" s="7" t="str">
        <f t="shared" si="31"/>
        <v>-</v>
      </c>
      <c r="O149" s="4">
        <f t="shared" si="27"/>
        <v>0</v>
      </c>
      <c r="P149" s="4"/>
      <c r="Q149" s="4"/>
      <c r="R149" s="4">
        <f t="shared" si="26"/>
        <v>2</v>
      </c>
      <c r="S149" s="16">
        <v>2.3009421184481571E-2</v>
      </c>
    </row>
    <row r="150" spans="4:19" x14ac:dyDescent="0.25">
      <c r="D150" s="38">
        <v>4.5760911323324827E-2</v>
      </c>
      <c r="E150" s="4">
        <v>144</v>
      </c>
      <c r="F150" s="4">
        <f t="shared" si="32"/>
        <v>1</v>
      </c>
      <c r="G150" s="4">
        <f t="shared" si="24"/>
        <v>328</v>
      </c>
      <c r="H150" s="4">
        <f t="shared" si="33"/>
        <v>329</v>
      </c>
      <c r="I150" s="4">
        <f t="shared" si="34"/>
        <v>331</v>
      </c>
      <c r="J150" s="4" t="str">
        <f t="shared" si="25"/>
        <v>Server 1</v>
      </c>
      <c r="K150" s="4">
        <f t="shared" si="28"/>
        <v>4</v>
      </c>
      <c r="L150" s="4">
        <f t="shared" si="29"/>
        <v>329</v>
      </c>
      <c r="M150" s="7">
        <f t="shared" si="30"/>
        <v>333</v>
      </c>
      <c r="N150" s="7" t="str">
        <f t="shared" si="31"/>
        <v>-</v>
      </c>
      <c r="O150" s="4">
        <f t="shared" si="27"/>
        <v>1</v>
      </c>
      <c r="P150" s="4"/>
      <c r="Q150" s="4"/>
      <c r="R150" s="4">
        <f t="shared" si="26"/>
        <v>5</v>
      </c>
      <c r="S150" s="16">
        <v>0.60958839746198978</v>
      </c>
    </row>
    <row r="151" spans="4:19" x14ac:dyDescent="0.25">
      <c r="D151" s="38">
        <v>0.35869971813299206</v>
      </c>
      <c r="E151" s="4">
        <v>145</v>
      </c>
      <c r="F151" s="4">
        <f t="shared" si="32"/>
        <v>2</v>
      </c>
      <c r="G151" s="4">
        <f t="shared" si="24"/>
        <v>330</v>
      </c>
      <c r="H151" s="4">
        <f t="shared" si="33"/>
        <v>333</v>
      </c>
      <c r="I151" s="4">
        <f t="shared" si="34"/>
        <v>331</v>
      </c>
      <c r="J151" s="4" t="str">
        <f t="shared" si="25"/>
        <v>Server 2</v>
      </c>
      <c r="K151" s="4">
        <f t="shared" si="28"/>
        <v>3</v>
      </c>
      <c r="L151" s="4">
        <f t="shared" si="29"/>
        <v>331</v>
      </c>
      <c r="M151" s="7" t="str">
        <f t="shared" si="30"/>
        <v>-</v>
      </c>
      <c r="N151" s="7">
        <f t="shared" si="31"/>
        <v>334</v>
      </c>
      <c r="O151" s="4">
        <f t="shared" si="27"/>
        <v>1</v>
      </c>
      <c r="P151" s="4"/>
      <c r="Q151" s="4"/>
      <c r="R151" s="4">
        <f t="shared" si="26"/>
        <v>4</v>
      </c>
      <c r="S151" s="16">
        <v>0.21743719266164363</v>
      </c>
    </row>
    <row r="152" spans="4:19" x14ac:dyDescent="0.25">
      <c r="D152" s="38">
        <v>0.69058151819608027</v>
      </c>
      <c r="E152" s="4">
        <v>146</v>
      </c>
      <c r="F152" s="4">
        <f t="shared" si="32"/>
        <v>3</v>
      </c>
      <c r="G152" s="4">
        <f t="shared" si="24"/>
        <v>333</v>
      </c>
      <c r="H152" s="4">
        <f t="shared" si="33"/>
        <v>333</v>
      </c>
      <c r="I152" s="4">
        <f t="shared" si="34"/>
        <v>334</v>
      </c>
      <c r="J152" s="4" t="str">
        <f t="shared" si="25"/>
        <v>Server 1</v>
      </c>
      <c r="K152" s="4">
        <f t="shared" si="28"/>
        <v>3</v>
      </c>
      <c r="L152" s="4">
        <f t="shared" si="29"/>
        <v>333</v>
      </c>
      <c r="M152" s="7">
        <f t="shared" si="30"/>
        <v>336</v>
      </c>
      <c r="N152" s="7" t="str">
        <f t="shared" si="31"/>
        <v>-</v>
      </c>
      <c r="O152" s="4">
        <f t="shared" si="27"/>
        <v>0</v>
      </c>
      <c r="P152" s="4"/>
      <c r="Q152" s="4"/>
      <c r="R152" s="4">
        <f t="shared" si="26"/>
        <v>3</v>
      </c>
      <c r="S152" s="16">
        <v>0.45871994012321637</v>
      </c>
    </row>
    <row r="153" spans="4:19" x14ac:dyDescent="0.25">
      <c r="D153" s="38">
        <v>0.90292335729456685</v>
      </c>
      <c r="E153" s="4">
        <v>147</v>
      </c>
      <c r="F153" s="4">
        <f t="shared" si="32"/>
        <v>4</v>
      </c>
      <c r="G153" s="4">
        <f t="shared" si="24"/>
        <v>337</v>
      </c>
      <c r="H153" s="4">
        <f t="shared" si="33"/>
        <v>336</v>
      </c>
      <c r="I153" s="4">
        <f t="shared" si="34"/>
        <v>334</v>
      </c>
      <c r="J153" s="4" t="str">
        <f t="shared" si="25"/>
        <v>Server 2</v>
      </c>
      <c r="K153" s="4">
        <f t="shared" si="28"/>
        <v>3</v>
      </c>
      <c r="L153" s="4">
        <f t="shared" si="29"/>
        <v>337</v>
      </c>
      <c r="M153" s="7" t="str">
        <f t="shared" si="30"/>
        <v>-</v>
      </c>
      <c r="N153" s="7">
        <f t="shared" si="31"/>
        <v>340</v>
      </c>
      <c r="O153" s="4">
        <f t="shared" si="27"/>
        <v>0</v>
      </c>
      <c r="P153" s="4"/>
      <c r="Q153" s="4"/>
      <c r="R153" s="4">
        <f t="shared" si="26"/>
        <v>3</v>
      </c>
      <c r="S153" s="16">
        <v>6.7539693643563714E-2</v>
      </c>
    </row>
    <row r="154" spans="4:19" x14ac:dyDescent="0.25">
      <c r="D154" s="38">
        <v>2.4757446325915144E-2</v>
      </c>
      <c r="E154" s="4">
        <v>148</v>
      </c>
      <c r="F154" s="4">
        <f t="shared" si="32"/>
        <v>1</v>
      </c>
      <c r="G154" s="4">
        <f t="shared" si="24"/>
        <v>338</v>
      </c>
      <c r="H154" s="4">
        <f t="shared" si="33"/>
        <v>340</v>
      </c>
      <c r="I154" s="4">
        <f t="shared" si="34"/>
        <v>334</v>
      </c>
      <c r="J154" s="4" t="str">
        <f t="shared" si="25"/>
        <v>Server 2</v>
      </c>
      <c r="K154" s="4">
        <f t="shared" si="28"/>
        <v>6</v>
      </c>
      <c r="L154" s="4">
        <f t="shared" si="29"/>
        <v>338</v>
      </c>
      <c r="M154" s="7" t="str">
        <f t="shared" si="30"/>
        <v>-</v>
      </c>
      <c r="N154" s="7">
        <f t="shared" si="31"/>
        <v>344</v>
      </c>
      <c r="O154" s="4">
        <f t="shared" si="27"/>
        <v>0</v>
      </c>
      <c r="P154" s="4"/>
      <c r="Q154" s="4"/>
      <c r="R154" s="4">
        <f t="shared" si="26"/>
        <v>6</v>
      </c>
      <c r="S154" s="16">
        <v>0.96549627406424965</v>
      </c>
    </row>
    <row r="155" spans="4:19" x14ac:dyDescent="0.25">
      <c r="D155" s="38">
        <v>0.41542229543877807</v>
      </c>
      <c r="E155" s="4">
        <v>149</v>
      </c>
      <c r="F155" s="4">
        <f t="shared" si="32"/>
        <v>2</v>
      </c>
      <c r="G155" s="4">
        <f t="shared" si="24"/>
        <v>340</v>
      </c>
      <c r="H155" s="4">
        <f t="shared" si="33"/>
        <v>340</v>
      </c>
      <c r="I155" s="4">
        <f t="shared" si="34"/>
        <v>344</v>
      </c>
      <c r="J155" s="4" t="str">
        <f t="shared" si="25"/>
        <v>Server 1</v>
      </c>
      <c r="K155" s="4">
        <f t="shared" si="28"/>
        <v>3</v>
      </c>
      <c r="L155" s="4">
        <f t="shared" si="29"/>
        <v>340</v>
      </c>
      <c r="M155" s="7">
        <f t="shared" si="30"/>
        <v>343</v>
      </c>
      <c r="N155" s="7" t="str">
        <f t="shared" si="31"/>
        <v>-</v>
      </c>
      <c r="O155" s="4">
        <f t="shared" si="27"/>
        <v>0</v>
      </c>
      <c r="P155" s="4"/>
      <c r="Q155" s="4"/>
      <c r="R155" s="4">
        <f t="shared" si="26"/>
        <v>3</v>
      </c>
      <c r="S155" s="16">
        <v>0.43902934910172431</v>
      </c>
    </row>
    <row r="156" spans="4:19" x14ac:dyDescent="0.25">
      <c r="D156" s="38">
        <v>8.26218323458352E-2</v>
      </c>
      <c r="E156" s="4">
        <v>150</v>
      </c>
      <c r="F156" s="4">
        <f t="shared" si="32"/>
        <v>1</v>
      </c>
      <c r="G156" s="4">
        <f t="shared" si="24"/>
        <v>341</v>
      </c>
      <c r="H156" s="4">
        <f t="shared" si="33"/>
        <v>343</v>
      </c>
      <c r="I156" s="4">
        <f t="shared" si="34"/>
        <v>344</v>
      </c>
      <c r="J156" s="4" t="str">
        <f t="shared" si="25"/>
        <v>Server 1</v>
      </c>
      <c r="K156" s="4">
        <f t="shared" si="28"/>
        <v>4</v>
      </c>
      <c r="L156" s="4">
        <f t="shared" si="29"/>
        <v>343</v>
      </c>
      <c r="M156" s="7">
        <f t="shared" si="30"/>
        <v>347</v>
      </c>
      <c r="N156" s="7" t="str">
        <f t="shared" si="31"/>
        <v>-</v>
      </c>
      <c r="O156" s="4">
        <f t="shared" si="27"/>
        <v>2</v>
      </c>
      <c r="P156" s="4"/>
      <c r="Q156" s="4"/>
      <c r="R156" s="4">
        <f t="shared" si="26"/>
        <v>6</v>
      </c>
      <c r="S156" s="16">
        <v>0.74714994995605233</v>
      </c>
    </row>
    <row r="157" spans="4:19" x14ac:dyDescent="0.25">
      <c r="D157" s="38">
        <v>0.27830319323793395</v>
      </c>
      <c r="E157" s="4">
        <v>151</v>
      </c>
      <c r="F157" s="4">
        <f t="shared" si="32"/>
        <v>2</v>
      </c>
      <c r="G157" s="4">
        <f t="shared" si="24"/>
        <v>343</v>
      </c>
      <c r="H157" s="4">
        <f t="shared" si="33"/>
        <v>347</v>
      </c>
      <c r="I157" s="4">
        <f t="shared" si="34"/>
        <v>344</v>
      </c>
      <c r="J157" s="4" t="str">
        <f t="shared" si="25"/>
        <v>Server 2</v>
      </c>
      <c r="K157" s="4">
        <f t="shared" si="28"/>
        <v>3</v>
      </c>
      <c r="L157" s="4">
        <f t="shared" si="29"/>
        <v>344</v>
      </c>
      <c r="M157" s="7" t="str">
        <f t="shared" si="30"/>
        <v>-</v>
      </c>
      <c r="N157" s="7">
        <f t="shared" si="31"/>
        <v>347</v>
      </c>
      <c r="O157" s="4">
        <f t="shared" si="27"/>
        <v>1</v>
      </c>
      <c r="P157" s="4"/>
      <c r="Q157" s="4"/>
      <c r="R157" s="4">
        <f t="shared" si="26"/>
        <v>4</v>
      </c>
      <c r="S157" s="16">
        <v>0.25782906644158521</v>
      </c>
    </row>
    <row r="158" spans="4:19" x14ac:dyDescent="0.25">
      <c r="D158" s="38">
        <v>4.5327903726726015E-2</v>
      </c>
      <c r="E158" s="4">
        <v>152</v>
      </c>
      <c r="F158" s="4">
        <f t="shared" si="32"/>
        <v>1</v>
      </c>
      <c r="G158" s="4">
        <f t="shared" si="24"/>
        <v>344</v>
      </c>
      <c r="H158" s="4">
        <f t="shared" si="33"/>
        <v>347</v>
      </c>
      <c r="I158" s="4">
        <f t="shared" si="34"/>
        <v>347</v>
      </c>
      <c r="J158" s="4" t="str">
        <f t="shared" si="25"/>
        <v>Server 1</v>
      </c>
      <c r="K158" s="4">
        <f t="shared" si="28"/>
        <v>4</v>
      </c>
      <c r="L158" s="4">
        <f t="shared" si="29"/>
        <v>347</v>
      </c>
      <c r="M158" s="7">
        <f t="shared" si="30"/>
        <v>351</v>
      </c>
      <c r="N158" s="7" t="str">
        <f t="shared" si="31"/>
        <v>-</v>
      </c>
      <c r="O158" s="4">
        <f t="shared" si="27"/>
        <v>3</v>
      </c>
      <c r="P158" s="4"/>
      <c r="Q158" s="4"/>
      <c r="R158" s="4">
        <f t="shared" si="26"/>
        <v>7</v>
      </c>
      <c r="S158" s="16">
        <v>0.66496231336359846</v>
      </c>
    </row>
    <row r="159" spans="4:19" x14ac:dyDescent="0.25">
      <c r="D159" s="38">
        <v>0.73225922285123257</v>
      </c>
      <c r="E159" s="4">
        <v>153</v>
      </c>
      <c r="F159" s="4">
        <f t="shared" si="32"/>
        <v>3</v>
      </c>
      <c r="G159" s="4">
        <f t="shared" si="24"/>
        <v>347</v>
      </c>
      <c r="H159" s="4">
        <f t="shared" si="33"/>
        <v>351</v>
      </c>
      <c r="I159" s="4">
        <f t="shared" si="34"/>
        <v>347</v>
      </c>
      <c r="J159" s="4" t="str">
        <f t="shared" si="25"/>
        <v>Server 2</v>
      </c>
      <c r="K159" s="4">
        <f t="shared" si="28"/>
        <v>6</v>
      </c>
      <c r="L159" s="4">
        <f t="shared" si="29"/>
        <v>347</v>
      </c>
      <c r="M159" s="7" t="str">
        <f t="shared" si="30"/>
        <v>-</v>
      </c>
      <c r="N159" s="7">
        <f t="shared" si="31"/>
        <v>353</v>
      </c>
      <c r="O159" s="4">
        <f t="shared" si="27"/>
        <v>0</v>
      </c>
      <c r="P159" s="4"/>
      <c r="Q159" s="4"/>
      <c r="R159" s="4">
        <f t="shared" si="26"/>
        <v>6</v>
      </c>
      <c r="S159" s="16">
        <v>0.98964505674138581</v>
      </c>
    </row>
    <row r="160" spans="4:19" x14ac:dyDescent="0.25">
      <c r="D160" s="38">
        <v>0.50031886629867584</v>
      </c>
      <c r="E160" s="4">
        <v>154</v>
      </c>
      <c r="F160" s="4">
        <f t="shared" si="32"/>
        <v>2</v>
      </c>
      <c r="G160" s="4">
        <f t="shared" si="24"/>
        <v>349</v>
      </c>
      <c r="H160" s="4">
        <f t="shared" si="33"/>
        <v>351</v>
      </c>
      <c r="I160" s="4">
        <f t="shared" si="34"/>
        <v>353</v>
      </c>
      <c r="J160" s="4" t="str">
        <f t="shared" si="25"/>
        <v>Server 1</v>
      </c>
      <c r="K160" s="4">
        <f t="shared" si="28"/>
        <v>3</v>
      </c>
      <c r="L160" s="4">
        <f t="shared" si="29"/>
        <v>351</v>
      </c>
      <c r="M160" s="7">
        <f t="shared" si="30"/>
        <v>354</v>
      </c>
      <c r="N160" s="7" t="str">
        <f t="shared" si="31"/>
        <v>-</v>
      </c>
      <c r="O160" s="4">
        <f t="shared" si="27"/>
        <v>2</v>
      </c>
      <c r="P160" s="4"/>
      <c r="Q160" s="4"/>
      <c r="R160" s="4">
        <f t="shared" si="26"/>
        <v>5</v>
      </c>
      <c r="S160" s="16">
        <v>0.54192452722948281</v>
      </c>
    </row>
    <row r="161" spans="4:19" x14ac:dyDescent="0.25">
      <c r="D161" s="38">
        <v>0.36954087722897022</v>
      </c>
      <c r="E161" s="4">
        <v>155</v>
      </c>
      <c r="F161" s="4">
        <f t="shared" si="32"/>
        <v>2</v>
      </c>
      <c r="G161" s="4">
        <f t="shared" si="24"/>
        <v>351</v>
      </c>
      <c r="H161" s="4">
        <f t="shared" si="33"/>
        <v>354</v>
      </c>
      <c r="I161" s="4">
        <f t="shared" si="34"/>
        <v>353</v>
      </c>
      <c r="J161" s="4" t="str">
        <f t="shared" si="25"/>
        <v>Server 2</v>
      </c>
      <c r="K161" s="4">
        <f t="shared" si="28"/>
        <v>3</v>
      </c>
      <c r="L161" s="4">
        <f t="shared" si="29"/>
        <v>353</v>
      </c>
      <c r="M161" s="7" t="str">
        <f t="shared" si="30"/>
        <v>-</v>
      </c>
      <c r="N161" s="7">
        <f t="shared" si="31"/>
        <v>356</v>
      </c>
      <c r="O161" s="4">
        <f t="shared" si="27"/>
        <v>2</v>
      </c>
      <c r="P161" s="4"/>
      <c r="Q161" s="4"/>
      <c r="R161" s="4">
        <f t="shared" si="26"/>
        <v>5</v>
      </c>
      <c r="S161" s="16">
        <v>0.24343146898200618</v>
      </c>
    </row>
    <row r="162" spans="4:19" x14ac:dyDescent="0.25">
      <c r="D162" s="38">
        <v>0.72378904921080167</v>
      </c>
      <c r="E162" s="4">
        <v>156</v>
      </c>
      <c r="F162" s="4">
        <f t="shared" si="32"/>
        <v>3</v>
      </c>
      <c r="G162" s="4">
        <f t="shared" si="24"/>
        <v>354</v>
      </c>
      <c r="H162" s="4">
        <f t="shared" si="33"/>
        <v>354</v>
      </c>
      <c r="I162" s="4">
        <f t="shared" si="34"/>
        <v>356</v>
      </c>
      <c r="J162" s="4" t="str">
        <f t="shared" si="25"/>
        <v>Server 1</v>
      </c>
      <c r="K162" s="4">
        <f t="shared" si="28"/>
        <v>2</v>
      </c>
      <c r="L162" s="4">
        <f t="shared" si="29"/>
        <v>354</v>
      </c>
      <c r="M162" s="7">
        <f t="shared" si="30"/>
        <v>356</v>
      </c>
      <c r="N162" s="7" t="str">
        <f t="shared" si="31"/>
        <v>-</v>
      </c>
      <c r="O162" s="4">
        <f t="shared" si="27"/>
        <v>0</v>
      </c>
      <c r="P162" s="4"/>
      <c r="Q162" s="4"/>
      <c r="R162" s="4">
        <f t="shared" si="26"/>
        <v>2</v>
      </c>
      <c r="S162" s="16">
        <v>4.8809598189443193E-3</v>
      </c>
    </row>
    <row r="163" spans="4:19" x14ac:dyDescent="0.25">
      <c r="D163" s="38">
        <v>0.76952493722108561</v>
      </c>
      <c r="E163" s="4">
        <v>157</v>
      </c>
      <c r="F163" s="4">
        <f t="shared" si="32"/>
        <v>3</v>
      </c>
      <c r="G163" s="4">
        <f t="shared" si="24"/>
        <v>357</v>
      </c>
      <c r="H163" s="4">
        <f t="shared" si="33"/>
        <v>356</v>
      </c>
      <c r="I163" s="4">
        <f t="shared" si="34"/>
        <v>356</v>
      </c>
      <c r="J163" s="4" t="str">
        <f t="shared" si="25"/>
        <v>Server 1</v>
      </c>
      <c r="K163" s="4">
        <f t="shared" si="28"/>
        <v>2</v>
      </c>
      <c r="L163" s="4">
        <f t="shared" si="29"/>
        <v>357</v>
      </c>
      <c r="M163" s="7">
        <f t="shared" si="30"/>
        <v>359</v>
      </c>
      <c r="N163" s="7" t="str">
        <f t="shared" si="31"/>
        <v>-</v>
      </c>
      <c r="O163" s="4">
        <f t="shared" si="27"/>
        <v>0</v>
      </c>
      <c r="P163" s="4"/>
      <c r="Q163" s="4"/>
      <c r="R163" s="4">
        <f t="shared" si="26"/>
        <v>2</v>
      </c>
      <c r="S163" s="16">
        <v>0.15739486406849912</v>
      </c>
    </row>
    <row r="164" spans="4:19" x14ac:dyDescent="0.25">
      <c r="D164" s="38">
        <v>0.57595613237560128</v>
      </c>
      <c r="E164" s="4">
        <v>158</v>
      </c>
      <c r="F164" s="4">
        <f t="shared" si="32"/>
        <v>2</v>
      </c>
      <c r="G164" s="4">
        <f t="shared" si="24"/>
        <v>359</v>
      </c>
      <c r="H164" s="4">
        <f t="shared" si="33"/>
        <v>359</v>
      </c>
      <c r="I164" s="4">
        <f t="shared" si="34"/>
        <v>356</v>
      </c>
      <c r="J164" s="4" t="str">
        <f t="shared" si="25"/>
        <v>Server 1</v>
      </c>
      <c r="K164" s="4">
        <f t="shared" si="28"/>
        <v>3</v>
      </c>
      <c r="L164" s="4">
        <f t="shared" si="29"/>
        <v>359</v>
      </c>
      <c r="M164" s="7">
        <f t="shared" si="30"/>
        <v>362</v>
      </c>
      <c r="N164" s="7" t="str">
        <f t="shared" si="31"/>
        <v>-</v>
      </c>
      <c r="O164" s="4">
        <f t="shared" si="27"/>
        <v>0</v>
      </c>
      <c r="P164" s="4"/>
      <c r="Q164" s="4"/>
      <c r="R164" s="4">
        <f t="shared" si="26"/>
        <v>3</v>
      </c>
      <c r="S164" s="16">
        <v>0.50762379107659306</v>
      </c>
    </row>
    <row r="165" spans="4:19" x14ac:dyDescent="0.25">
      <c r="D165" s="38">
        <v>0.40147655485392786</v>
      </c>
      <c r="E165" s="4">
        <v>159</v>
      </c>
      <c r="F165" s="4">
        <f t="shared" si="32"/>
        <v>2</v>
      </c>
      <c r="G165" s="4">
        <f t="shared" si="24"/>
        <v>361</v>
      </c>
      <c r="H165" s="4">
        <f t="shared" si="33"/>
        <v>362</v>
      </c>
      <c r="I165" s="4">
        <f t="shared" si="34"/>
        <v>356</v>
      </c>
      <c r="J165" s="4" t="str">
        <f t="shared" si="25"/>
        <v>Server 2</v>
      </c>
      <c r="K165" s="4">
        <f t="shared" si="28"/>
        <v>5</v>
      </c>
      <c r="L165" s="4">
        <f t="shared" si="29"/>
        <v>361</v>
      </c>
      <c r="M165" s="7" t="str">
        <f t="shared" si="30"/>
        <v>-</v>
      </c>
      <c r="N165" s="7">
        <f t="shared" si="31"/>
        <v>366</v>
      </c>
      <c r="O165" s="4">
        <f t="shared" si="27"/>
        <v>0</v>
      </c>
      <c r="P165" s="4"/>
      <c r="Q165" s="4"/>
      <c r="R165" s="4">
        <f t="shared" si="26"/>
        <v>5</v>
      </c>
      <c r="S165" s="16">
        <v>0.62578220985159649</v>
      </c>
    </row>
    <row r="166" spans="4:19" x14ac:dyDescent="0.25">
      <c r="D166" s="38">
        <v>0.13312731950703816</v>
      </c>
      <c r="E166" s="4">
        <v>160</v>
      </c>
      <c r="F166" s="4">
        <f t="shared" si="32"/>
        <v>1</v>
      </c>
      <c r="G166" s="4">
        <f t="shared" si="24"/>
        <v>362</v>
      </c>
      <c r="H166" s="4">
        <f t="shared" si="33"/>
        <v>362</v>
      </c>
      <c r="I166" s="4">
        <f t="shared" si="34"/>
        <v>366</v>
      </c>
      <c r="J166" s="4" t="str">
        <f t="shared" si="25"/>
        <v>Server 1</v>
      </c>
      <c r="K166" s="4">
        <f t="shared" si="28"/>
        <v>2</v>
      </c>
      <c r="L166" s="4">
        <f t="shared" si="29"/>
        <v>362</v>
      </c>
      <c r="M166" s="7">
        <f t="shared" si="30"/>
        <v>364</v>
      </c>
      <c r="N166" s="7" t="str">
        <f t="shared" si="31"/>
        <v>-</v>
      </c>
      <c r="O166" s="4">
        <f t="shared" si="27"/>
        <v>0</v>
      </c>
      <c r="P166" s="4"/>
      <c r="Q166" s="4"/>
      <c r="R166" s="4">
        <f t="shared" si="26"/>
        <v>2</v>
      </c>
      <c r="S166" s="16">
        <v>3.4902473497930186E-2</v>
      </c>
    </row>
    <row r="167" spans="4:19" x14ac:dyDescent="0.25">
      <c r="D167" s="38">
        <v>0.98152581701181241</v>
      </c>
      <c r="E167" s="4">
        <v>161</v>
      </c>
      <c r="F167" s="4">
        <f t="shared" si="32"/>
        <v>4</v>
      </c>
      <c r="G167" s="4">
        <f t="shared" si="24"/>
        <v>366</v>
      </c>
      <c r="H167" s="4">
        <f t="shared" si="33"/>
        <v>364</v>
      </c>
      <c r="I167" s="4">
        <f t="shared" si="34"/>
        <v>366</v>
      </c>
      <c r="J167" s="4" t="str">
        <f t="shared" si="25"/>
        <v>Server 1</v>
      </c>
      <c r="K167" s="4">
        <f t="shared" si="28"/>
        <v>3</v>
      </c>
      <c r="L167" s="4">
        <f t="shared" si="29"/>
        <v>366</v>
      </c>
      <c r="M167" s="7">
        <f t="shared" si="30"/>
        <v>369</v>
      </c>
      <c r="N167" s="7" t="str">
        <f t="shared" si="31"/>
        <v>-</v>
      </c>
      <c r="O167" s="4">
        <f t="shared" si="27"/>
        <v>0</v>
      </c>
      <c r="P167" s="4"/>
      <c r="Q167" s="4"/>
      <c r="R167" s="4">
        <f t="shared" si="26"/>
        <v>3</v>
      </c>
      <c r="S167" s="16">
        <v>0.56670013881352854</v>
      </c>
    </row>
    <row r="168" spans="4:19" x14ac:dyDescent="0.25">
      <c r="D168" s="38">
        <v>2.3551351008996968E-2</v>
      </c>
      <c r="E168" s="4">
        <v>162</v>
      </c>
      <c r="F168" s="4">
        <f t="shared" si="32"/>
        <v>1</v>
      </c>
      <c r="G168" s="4">
        <f t="shared" si="24"/>
        <v>367</v>
      </c>
      <c r="H168" s="4">
        <f t="shared" si="33"/>
        <v>369</v>
      </c>
      <c r="I168" s="4">
        <f t="shared" si="34"/>
        <v>366</v>
      </c>
      <c r="J168" s="4" t="str">
        <f t="shared" si="25"/>
        <v>Server 2</v>
      </c>
      <c r="K168" s="4">
        <f t="shared" si="28"/>
        <v>6</v>
      </c>
      <c r="L168" s="4">
        <f t="shared" si="29"/>
        <v>367</v>
      </c>
      <c r="M168" s="7" t="str">
        <f t="shared" si="30"/>
        <v>-</v>
      </c>
      <c r="N168" s="7">
        <f t="shared" si="31"/>
        <v>373</v>
      </c>
      <c r="O168" s="4">
        <f t="shared" si="27"/>
        <v>0</v>
      </c>
      <c r="P168" s="4"/>
      <c r="Q168" s="4"/>
      <c r="R168" s="4">
        <f t="shared" si="26"/>
        <v>6</v>
      </c>
      <c r="S168" s="16">
        <v>0.97513294890774793</v>
      </c>
    </row>
    <row r="169" spans="4:19" x14ac:dyDescent="0.25">
      <c r="D169" s="38">
        <v>0.20709185883536008</v>
      </c>
      <c r="E169" s="4">
        <v>163</v>
      </c>
      <c r="F169" s="4">
        <f t="shared" si="32"/>
        <v>1</v>
      </c>
      <c r="G169" s="4">
        <f t="shared" si="24"/>
        <v>368</v>
      </c>
      <c r="H169" s="4">
        <f t="shared" si="33"/>
        <v>369</v>
      </c>
      <c r="I169" s="4">
        <f t="shared" si="34"/>
        <v>373</v>
      </c>
      <c r="J169" s="4" t="str">
        <f t="shared" si="25"/>
        <v>Server 1</v>
      </c>
      <c r="K169" s="4">
        <f t="shared" si="28"/>
        <v>5</v>
      </c>
      <c r="L169" s="4">
        <f t="shared" si="29"/>
        <v>369</v>
      </c>
      <c r="M169" s="7">
        <f t="shared" si="30"/>
        <v>374</v>
      </c>
      <c r="N169" s="7" t="str">
        <f t="shared" si="31"/>
        <v>-</v>
      </c>
      <c r="O169" s="4">
        <f t="shared" si="27"/>
        <v>1</v>
      </c>
      <c r="P169" s="4"/>
      <c r="Q169" s="4"/>
      <c r="R169" s="4">
        <f t="shared" si="26"/>
        <v>6</v>
      </c>
      <c r="S169" s="16">
        <v>0.91868606118804463</v>
      </c>
    </row>
    <row r="170" spans="4:19" x14ac:dyDescent="0.25">
      <c r="D170" s="38">
        <v>0.44175933275520995</v>
      </c>
      <c r="E170" s="4">
        <v>164</v>
      </c>
      <c r="F170" s="4">
        <f t="shared" si="32"/>
        <v>2</v>
      </c>
      <c r="G170" s="4">
        <f t="shared" si="24"/>
        <v>370</v>
      </c>
      <c r="H170" s="4">
        <f t="shared" si="33"/>
        <v>374</v>
      </c>
      <c r="I170" s="4">
        <f t="shared" si="34"/>
        <v>373</v>
      </c>
      <c r="J170" s="4" t="str">
        <f t="shared" si="25"/>
        <v>Server 2</v>
      </c>
      <c r="K170" s="4">
        <f t="shared" si="28"/>
        <v>4</v>
      </c>
      <c r="L170" s="4">
        <f t="shared" si="29"/>
        <v>373</v>
      </c>
      <c r="M170" s="7" t="str">
        <f t="shared" si="30"/>
        <v>-</v>
      </c>
      <c r="N170" s="7">
        <f t="shared" si="31"/>
        <v>377</v>
      </c>
      <c r="O170" s="4">
        <f t="shared" si="27"/>
        <v>3</v>
      </c>
      <c r="P170" s="4"/>
      <c r="Q170" s="4"/>
      <c r="R170" s="4">
        <f t="shared" si="26"/>
        <v>7</v>
      </c>
      <c r="S170" s="16">
        <v>0.42270117539043628</v>
      </c>
    </row>
    <row r="171" spans="4:19" x14ac:dyDescent="0.25">
      <c r="D171" s="38">
        <v>9.975697169220088E-2</v>
      </c>
      <c r="E171" s="4">
        <v>165</v>
      </c>
      <c r="F171" s="4">
        <f t="shared" si="32"/>
        <v>1</v>
      </c>
      <c r="G171" s="4">
        <f t="shared" ref="G171:G206" si="35">G170+F171</f>
        <v>371</v>
      </c>
      <c r="H171" s="4">
        <f t="shared" si="33"/>
        <v>374</v>
      </c>
      <c r="I171" s="4">
        <f t="shared" si="34"/>
        <v>377</v>
      </c>
      <c r="J171" s="4" t="str">
        <f t="shared" ref="J171:J206" si="36">ChoseServer(H171,I171,G171)</f>
        <v>Server 1</v>
      </c>
      <c r="K171" s="4">
        <f t="shared" si="28"/>
        <v>5</v>
      </c>
      <c r="L171" s="4">
        <f t="shared" si="29"/>
        <v>374</v>
      </c>
      <c r="M171" s="7">
        <f t="shared" si="30"/>
        <v>379</v>
      </c>
      <c r="N171" s="7" t="str">
        <f t="shared" si="31"/>
        <v>-</v>
      </c>
      <c r="O171" s="4">
        <f t="shared" ref="O171:O206" si="37">L171-G171</f>
        <v>3</v>
      </c>
      <c r="P171" s="4"/>
      <c r="Q171" s="4"/>
      <c r="R171" s="4">
        <f t="shared" ref="R171:R206" si="38">O171+K171</f>
        <v>8</v>
      </c>
      <c r="S171" s="16">
        <v>0.92191120756919354</v>
      </c>
    </row>
    <row r="172" spans="4:19" x14ac:dyDescent="0.25">
      <c r="D172" s="38">
        <v>0.8518175120716508</v>
      </c>
      <c r="E172" s="4">
        <v>166</v>
      </c>
      <c r="F172" s="4">
        <f t="shared" si="32"/>
        <v>4</v>
      </c>
      <c r="G172" s="4">
        <f t="shared" si="35"/>
        <v>375</v>
      </c>
      <c r="H172" s="4">
        <f t="shared" si="33"/>
        <v>379</v>
      </c>
      <c r="I172" s="4">
        <f t="shared" si="34"/>
        <v>377</v>
      </c>
      <c r="J172" s="4" t="str">
        <f t="shared" si="36"/>
        <v>Server 2</v>
      </c>
      <c r="K172" s="4">
        <f t="shared" si="28"/>
        <v>5</v>
      </c>
      <c r="L172" s="4">
        <f t="shared" si="29"/>
        <v>377</v>
      </c>
      <c r="M172" s="7" t="str">
        <f t="shared" si="30"/>
        <v>-</v>
      </c>
      <c r="N172" s="7">
        <f t="shared" si="31"/>
        <v>382</v>
      </c>
      <c r="O172" s="4">
        <f t="shared" si="37"/>
        <v>2</v>
      </c>
      <c r="P172" s="4"/>
      <c r="Q172" s="4"/>
      <c r="R172" s="4">
        <f t="shared" si="38"/>
        <v>7</v>
      </c>
      <c r="S172" s="16">
        <v>0.72501958843368397</v>
      </c>
    </row>
    <row r="173" spans="4:19" x14ac:dyDescent="0.25">
      <c r="D173" s="38">
        <v>0.74365732852485766</v>
      </c>
      <c r="E173" s="4">
        <v>167</v>
      </c>
      <c r="F173" s="4">
        <f t="shared" si="32"/>
        <v>3</v>
      </c>
      <c r="G173" s="4">
        <f t="shared" si="35"/>
        <v>378</v>
      </c>
      <c r="H173" s="4">
        <f t="shared" si="33"/>
        <v>379</v>
      </c>
      <c r="I173" s="4">
        <f t="shared" si="34"/>
        <v>382</v>
      </c>
      <c r="J173" s="4" t="str">
        <f t="shared" si="36"/>
        <v>Server 1</v>
      </c>
      <c r="K173" s="4">
        <f t="shared" si="28"/>
        <v>2</v>
      </c>
      <c r="L173" s="4">
        <f t="shared" si="29"/>
        <v>379</v>
      </c>
      <c r="M173" s="7">
        <f t="shared" si="30"/>
        <v>381</v>
      </c>
      <c r="N173" s="7" t="str">
        <f t="shared" si="31"/>
        <v>-</v>
      </c>
      <c r="O173" s="4">
        <f t="shared" si="37"/>
        <v>1</v>
      </c>
      <c r="P173" s="4"/>
      <c r="Q173" s="4"/>
      <c r="R173" s="4">
        <f t="shared" si="38"/>
        <v>3</v>
      </c>
      <c r="S173" s="16">
        <v>0.19786255345686321</v>
      </c>
    </row>
    <row r="174" spans="4:19" x14ac:dyDescent="0.25">
      <c r="D174" s="38">
        <v>0.42114746692775806</v>
      </c>
      <c r="E174" s="4">
        <v>168</v>
      </c>
      <c r="F174" s="4">
        <f t="shared" si="32"/>
        <v>2</v>
      </c>
      <c r="G174" s="4">
        <f t="shared" si="35"/>
        <v>380</v>
      </c>
      <c r="H174" s="4">
        <f t="shared" si="33"/>
        <v>381</v>
      </c>
      <c r="I174" s="4">
        <f t="shared" si="34"/>
        <v>382</v>
      </c>
      <c r="J174" s="4" t="str">
        <f t="shared" si="36"/>
        <v>Server 1</v>
      </c>
      <c r="K174" s="4">
        <f t="shared" si="28"/>
        <v>4</v>
      </c>
      <c r="L174" s="4">
        <f t="shared" si="29"/>
        <v>381</v>
      </c>
      <c r="M174" s="7">
        <f t="shared" si="30"/>
        <v>385</v>
      </c>
      <c r="N174" s="7" t="str">
        <f t="shared" si="31"/>
        <v>-</v>
      </c>
      <c r="O174" s="4">
        <f t="shared" si="37"/>
        <v>1</v>
      </c>
      <c r="P174" s="4"/>
      <c r="Q174" s="4"/>
      <c r="R174" s="4">
        <f t="shared" si="38"/>
        <v>5</v>
      </c>
      <c r="S174" s="16">
        <v>0.76547993046081875</v>
      </c>
    </row>
    <row r="175" spans="4:19" x14ac:dyDescent="0.25">
      <c r="D175" s="38">
        <v>0.41969532317700553</v>
      </c>
      <c r="E175" s="4">
        <v>169</v>
      </c>
      <c r="F175" s="4">
        <f t="shared" si="32"/>
        <v>2</v>
      </c>
      <c r="G175" s="4">
        <f t="shared" si="35"/>
        <v>382</v>
      </c>
      <c r="H175" s="4">
        <f t="shared" si="33"/>
        <v>385</v>
      </c>
      <c r="I175" s="4">
        <f t="shared" si="34"/>
        <v>382</v>
      </c>
      <c r="J175" s="4" t="str">
        <f t="shared" si="36"/>
        <v>Server 2</v>
      </c>
      <c r="K175" s="4">
        <f t="shared" si="28"/>
        <v>4</v>
      </c>
      <c r="L175" s="4">
        <f t="shared" si="29"/>
        <v>382</v>
      </c>
      <c r="M175" s="7" t="str">
        <f t="shared" si="30"/>
        <v>-</v>
      </c>
      <c r="N175" s="7">
        <f t="shared" si="31"/>
        <v>386</v>
      </c>
      <c r="O175" s="4">
        <f t="shared" si="37"/>
        <v>0</v>
      </c>
      <c r="P175" s="4"/>
      <c r="Q175" s="4"/>
      <c r="R175" s="4">
        <f t="shared" si="38"/>
        <v>4</v>
      </c>
      <c r="S175" s="16">
        <v>0.37032829661097189</v>
      </c>
    </row>
    <row r="176" spans="4:19" x14ac:dyDescent="0.25">
      <c r="D176" s="38">
        <v>0.80111439269482365</v>
      </c>
      <c r="E176" s="4">
        <v>170</v>
      </c>
      <c r="F176" s="4">
        <f t="shared" si="32"/>
        <v>3</v>
      </c>
      <c r="G176" s="4">
        <f t="shared" si="35"/>
        <v>385</v>
      </c>
      <c r="H176" s="4">
        <f t="shared" si="33"/>
        <v>385</v>
      </c>
      <c r="I176" s="4">
        <f t="shared" si="34"/>
        <v>386</v>
      </c>
      <c r="J176" s="4" t="str">
        <f t="shared" si="36"/>
        <v>Server 1</v>
      </c>
      <c r="K176" s="4">
        <f t="shared" si="28"/>
        <v>4</v>
      </c>
      <c r="L176" s="4">
        <f t="shared" si="29"/>
        <v>385</v>
      </c>
      <c r="M176" s="7">
        <f t="shared" si="30"/>
        <v>389</v>
      </c>
      <c r="N176" s="7" t="str">
        <f t="shared" si="31"/>
        <v>-</v>
      </c>
      <c r="O176" s="4">
        <f t="shared" si="37"/>
        <v>0</v>
      </c>
      <c r="P176" s="4"/>
      <c r="Q176" s="4"/>
      <c r="R176" s="4">
        <f t="shared" si="38"/>
        <v>4</v>
      </c>
      <c r="S176" s="16">
        <v>0.6189583346409594</v>
      </c>
    </row>
    <row r="177" spans="4:19" x14ac:dyDescent="0.25">
      <c r="D177" s="38">
        <v>0.95057134081193084</v>
      </c>
      <c r="E177" s="4">
        <v>171</v>
      </c>
      <c r="F177" s="4">
        <f t="shared" si="32"/>
        <v>4</v>
      </c>
      <c r="G177" s="4">
        <f t="shared" si="35"/>
        <v>389</v>
      </c>
      <c r="H177" s="4">
        <f t="shared" si="33"/>
        <v>389</v>
      </c>
      <c r="I177" s="4">
        <f t="shared" si="34"/>
        <v>386</v>
      </c>
      <c r="J177" s="4" t="str">
        <f t="shared" si="36"/>
        <v>Server 1</v>
      </c>
      <c r="K177" s="4">
        <f t="shared" si="28"/>
        <v>2</v>
      </c>
      <c r="L177" s="4">
        <f t="shared" si="29"/>
        <v>389</v>
      </c>
      <c r="M177" s="7">
        <f t="shared" si="30"/>
        <v>391</v>
      </c>
      <c r="N177" s="7" t="str">
        <f t="shared" si="31"/>
        <v>-</v>
      </c>
      <c r="O177" s="4">
        <f t="shared" si="37"/>
        <v>0</v>
      </c>
      <c r="P177" s="4"/>
      <c r="Q177" s="4"/>
      <c r="R177" s="4">
        <f t="shared" si="38"/>
        <v>2</v>
      </c>
      <c r="S177" s="16">
        <v>4.4289872439050915E-2</v>
      </c>
    </row>
    <row r="178" spans="4:19" x14ac:dyDescent="0.25">
      <c r="D178" s="38">
        <v>0.24393044506141415</v>
      </c>
      <c r="E178" s="4">
        <v>172</v>
      </c>
      <c r="F178" s="4">
        <f t="shared" si="32"/>
        <v>1</v>
      </c>
      <c r="G178" s="4">
        <f t="shared" si="35"/>
        <v>390</v>
      </c>
      <c r="H178" s="4">
        <f t="shared" si="33"/>
        <v>391</v>
      </c>
      <c r="I178" s="4">
        <f t="shared" si="34"/>
        <v>386</v>
      </c>
      <c r="J178" s="4" t="str">
        <f t="shared" si="36"/>
        <v>Server 2</v>
      </c>
      <c r="K178" s="4">
        <f t="shared" si="28"/>
        <v>4</v>
      </c>
      <c r="L178" s="4">
        <f t="shared" si="29"/>
        <v>390</v>
      </c>
      <c r="M178" s="7" t="str">
        <f t="shared" si="30"/>
        <v>-</v>
      </c>
      <c r="N178" s="7">
        <f t="shared" si="31"/>
        <v>394</v>
      </c>
      <c r="O178" s="4">
        <f t="shared" si="37"/>
        <v>0</v>
      </c>
      <c r="P178" s="4"/>
      <c r="Q178" s="4"/>
      <c r="R178" s="4">
        <f t="shared" si="38"/>
        <v>4</v>
      </c>
      <c r="S178" s="16">
        <v>0.55059230582714636</v>
      </c>
    </row>
    <row r="179" spans="4:19" x14ac:dyDescent="0.25">
      <c r="D179" s="38">
        <v>0.52912615032846966</v>
      </c>
      <c r="E179" s="4">
        <v>173</v>
      </c>
      <c r="F179" s="4">
        <f t="shared" si="32"/>
        <v>2</v>
      </c>
      <c r="G179" s="4">
        <f t="shared" si="35"/>
        <v>392</v>
      </c>
      <c r="H179" s="4">
        <f t="shared" si="33"/>
        <v>391</v>
      </c>
      <c r="I179" s="4">
        <f t="shared" si="34"/>
        <v>394</v>
      </c>
      <c r="J179" s="4" t="str">
        <f t="shared" si="36"/>
        <v>Server 1</v>
      </c>
      <c r="K179" s="4">
        <f t="shared" si="28"/>
        <v>5</v>
      </c>
      <c r="L179" s="4">
        <f t="shared" si="29"/>
        <v>392</v>
      </c>
      <c r="M179" s="7">
        <f t="shared" si="30"/>
        <v>397</v>
      </c>
      <c r="N179" s="7" t="str">
        <f t="shared" si="31"/>
        <v>-</v>
      </c>
      <c r="O179" s="4">
        <f t="shared" si="37"/>
        <v>0</v>
      </c>
      <c r="P179" s="4"/>
      <c r="Q179" s="4"/>
      <c r="R179" s="4">
        <f t="shared" si="38"/>
        <v>5</v>
      </c>
      <c r="S179" s="16">
        <v>0.84742357620986941</v>
      </c>
    </row>
    <row r="180" spans="4:19" x14ac:dyDescent="0.25">
      <c r="D180" s="38">
        <v>0.30197069337621585</v>
      </c>
      <c r="E180" s="4">
        <v>174</v>
      </c>
      <c r="F180" s="4">
        <f t="shared" si="32"/>
        <v>2</v>
      </c>
      <c r="G180" s="4">
        <f t="shared" si="35"/>
        <v>394</v>
      </c>
      <c r="H180" s="4">
        <f t="shared" si="33"/>
        <v>397</v>
      </c>
      <c r="I180" s="4">
        <f t="shared" si="34"/>
        <v>394</v>
      </c>
      <c r="J180" s="4" t="str">
        <f t="shared" si="36"/>
        <v>Server 2</v>
      </c>
      <c r="K180" s="4">
        <f t="shared" si="28"/>
        <v>4</v>
      </c>
      <c r="L180" s="4">
        <f t="shared" si="29"/>
        <v>394</v>
      </c>
      <c r="M180" s="7" t="str">
        <f t="shared" si="30"/>
        <v>-</v>
      </c>
      <c r="N180" s="7">
        <f t="shared" si="31"/>
        <v>398</v>
      </c>
      <c r="O180" s="4">
        <f t="shared" si="37"/>
        <v>0</v>
      </c>
      <c r="P180" s="4"/>
      <c r="Q180" s="4"/>
      <c r="R180" s="4">
        <f t="shared" si="38"/>
        <v>4</v>
      </c>
      <c r="S180" s="16">
        <v>0.36978445182668673</v>
      </c>
    </row>
    <row r="181" spans="4:19" x14ac:dyDescent="0.25">
      <c r="D181" s="38">
        <v>0.12286126183916957</v>
      </c>
      <c r="E181" s="4">
        <v>175</v>
      </c>
      <c r="F181" s="4">
        <f t="shared" si="32"/>
        <v>1</v>
      </c>
      <c r="G181" s="4">
        <f t="shared" si="35"/>
        <v>395</v>
      </c>
      <c r="H181" s="4">
        <f t="shared" si="33"/>
        <v>397</v>
      </c>
      <c r="I181" s="4">
        <f t="shared" si="34"/>
        <v>398</v>
      </c>
      <c r="J181" s="4" t="str">
        <f t="shared" si="36"/>
        <v>Server 1</v>
      </c>
      <c r="K181" s="4">
        <f t="shared" si="28"/>
        <v>2</v>
      </c>
      <c r="L181" s="4">
        <f t="shared" si="29"/>
        <v>397</v>
      </c>
      <c r="M181" s="7">
        <f t="shared" si="30"/>
        <v>399</v>
      </c>
      <c r="N181" s="7" t="str">
        <f t="shared" si="31"/>
        <v>-</v>
      </c>
      <c r="O181" s="4">
        <f t="shared" si="37"/>
        <v>2</v>
      </c>
      <c r="P181" s="4"/>
      <c r="Q181" s="4"/>
      <c r="R181" s="4">
        <f t="shared" si="38"/>
        <v>4</v>
      </c>
      <c r="S181" s="16">
        <v>0.21194414146972251</v>
      </c>
    </row>
    <row r="182" spans="4:19" x14ac:dyDescent="0.25">
      <c r="D182" s="38">
        <v>0.76487877642176716</v>
      </c>
      <c r="E182" s="4">
        <v>176</v>
      </c>
      <c r="F182" s="4">
        <f t="shared" si="32"/>
        <v>3</v>
      </c>
      <c r="G182" s="4">
        <f t="shared" si="35"/>
        <v>398</v>
      </c>
      <c r="H182" s="4">
        <f t="shared" si="33"/>
        <v>399</v>
      </c>
      <c r="I182" s="4">
        <f t="shared" si="34"/>
        <v>398</v>
      </c>
      <c r="J182" s="4" t="str">
        <f t="shared" si="36"/>
        <v>Server 2</v>
      </c>
      <c r="K182" s="4">
        <f t="shared" si="28"/>
        <v>4</v>
      </c>
      <c r="L182" s="4">
        <f t="shared" si="29"/>
        <v>398</v>
      </c>
      <c r="M182" s="7" t="str">
        <f t="shared" si="30"/>
        <v>-</v>
      </c>
      <c r="N182" s="7">
        <f t="shared" si="31"/>
        <v>402</v>
      </c>
      <c r="O182" s="4">
        <f t="shared" si="37"/>
        <v>0</v>
      </c>
      <c r="P182" s="4"/>
      <c r="Q182" s="4"/>
      <c r="R182" s="4">
        <f t="shared" si="38"/>
        <v>4</v>
      </c>
      <c r="S182" s="16">
        <v>0.36263777865305635</v>
      </c>
    </row>
    <row r="183" spans="4:19" x14ac:dyDescent="0.25">
      <c r="D183" s="38">
        <v>0.87814648406832008</v>
      </c>
      <c r="E183" s="4">
        <v>177</v>
      </c>
      <c r="F183" s="4">
        <f t="shared" si="32"/>
        <v>4</v>
      </c>
      <c r="G183" s="4">
        <f t="shared" si="35"/>
        <v>402</v>
      </c>
      <c r="H183" s="4">
        <f t="shared" si="33"/>
        <v>399</v>
      </c>
      <c r="I183" s="4">
        <f t="shared" si="34"/>
        <v>402</v>
      </c>
      <c r="J183" s="4" t="str">
        <f t="shared" si="36"/>
        <v>Server 1</v>
      </c>
      <c r="K183" s="4">
        <f t="shared" si="28"/>
        <v>3</v>
      </c>
      <c r="L183" s="4">
        <f t="shared" si="29"/>
        <v>402</v>
      </c>
      <c r="M183" s="7">
        <f t="shared" si="30"/>
        <v>405</v>
      </c>
      <c r="N183" s="7" t="str">
        <f t="shared" si="31"/>
        <v>-</v>
      </c>
      <c r="O183" s="4">
        <f t="shared" si="37"/>
        <v>0</v>
      </c>
      <c r="P183" s="4"/>
      <c r="Q183" s="4"/>
      <c r="R183" s="4">
        <f t="shared" si="38"/>
        <v>3</v>
      </c>
      <c r="S183" s="16">
        <v>0.379805908538556</v>
      </c>
    </row>
    <row r="184" spans="4:19" x14ac:dyDescent="0.25">
      <c r="D184" s="38">
        <v>0.61286404215308521</v>
      </c>
      <c r="E184" s="4">
        <v>178</v>
      </c>
      <c r="F184" s="4">
        <f t="shared" si="32"/>
        <v>2</v>
      </c>
      <c r="G184" s="4">
        <f t="shared" si="35"/>
        <v>404</v>
      </c>
      <c r="H184" s="4">
        <f t="shared" si="33"/>
        <v>405</v>
      </c>
      <c r="I184" s="4">
        <f t="shared" si="34"/>
        <v>402</v>
      </c>
      <c r="J184" s="4" t="str">
        <f t="shared" si="36"/>
        <v>Server 2</v>
      </c>
      <c r="K184" s="4">
        <f t="shared" si="28"/>
        <v>5</v>
      </c>
      <c r="L184" s="4">
        <f t="shared" si="29"/>
        <v>404</v>
      </c>
      <c r="M184" s="7" t="str">
        <f t="shared" si="30"/>
        <v>-</v>
      </c>
      <c r="N184" s="7">
        <f t="shared" si="31"/>
        <v>409</v>
      </c>
      <c r="O184" s="4">
        <f t="shared" si="37"/>
        <v>0</v>
      </c>
      <c r="P184" s="4"/>
      <c r="Q184" s="4"/>
      <c r="R184" s="4">
        <f t="shared" si="38"/>
        <v>5</v>
      </c>
      <c r="S184" s="16">
        <v>0.62431210141298088</v>
      </c>
    </row>
    <row r="185" spans="4:19" x14ac:dyDescent="0.25">
      <c r="D185" s="38">
        <v>0.14864428933359009</v>
      </c>
      <c r="E185" s="4">
        <v>179</v>
      </c>
      <c r="F185" s="4">
        <f t="shared" si="32"/>
        <v>1</v>
      </c>
      <c r="G185" s="4">
        <f t="shared" si="35"/>
        <v>405</v>
      </c>
      <c r="H185" s="4">
        <f t="shared" si="33"/>
        <v>405</v>
      </c>
      <c r="I185" s="4">
        <f t="shared" si="34"/>
        <v>409</v>
      </c>
      <c r="J185" s="4" t="str">
        <f t="shared" si="36"/>
        <v>Server 1</v>
      </c>
      <c r="K185" s="4">
        <f t="shared" si="28"/>
        <v>2</v>
      </c>
      <c r="L185" s="4">
        <f t="shared" si="29"/>
        <v>405</v>
      </c>
      <c r="M185" s="7">
        <f t="shared" si="30"/>
        <v>407</v>
      </c>
      <c r="N185" s="7" t="str">
        <f t="shared" si="31"/>
        <v>-</v>
      </c>
      <c r="O185" s="4">
        <f t="shared" si="37"/>
        <v>0</v>
      </c>
      <c r="P185" s="4"/>
      <c r="Q185" s="4"/>
      <c r="R185" s="4">
        <f t="shared" si="38"/>
        <v>2</v>
      </c>
      <c r="S185" s="16">
        <v>0.13645466148021868</v>
      </c>
    </row>
    <row r="186" spans="4:19" x14ac:dyDescent="0.25">
      <c r="D186" s="38">
        <v>0.42343421723547581</v>
      </c>
      <c r="E186" s="4">
        <v>180</v>
      </c>
      <c r="F186" s="4">
        <f t="shared" si="32"/>
        <v>2</v>
      </c>
      <c r="G186" s="4">
        <f t="shared" si="35"/>
        <v>407</v>
      </c>
      <c r="H186" s="4">
        <f t="shared" si="33"/>
        <v>407</v>
      </c>
      <c r="I186" s="4">
        <f t="shared" si="34"/>
        <v>409</v>
      </c>
      <c r="J186" s="4" t="str">
        <f t="shared" si="36"/>
        <v>Server 1</v>
      </c>
      <c r="K186" s="4">
        <f t="shared" si="28"/>
        <v>2</v>
      </c>
      <c r="L186" s="4">
        <f t="shared" si="29"/>
        <v>407</v>
      </c>
      <c r="M186" s="7">
        <f t="shared" si="30"/>
        <v>409</v>
      </c>
      <c r="N186" s="7" t="str">
        <f t="shared" si="31"/>
        <v>-</v>
      </c>
      <c r="O186" s="4">
        <f t="shared" si="37"/>
        <v>0</v>
      </c>
      <c r="P186" s="4"/>
      <c r="Q186" s="4"/>
      <c r="R186" s="4">
        <f t="shared" si="38"/>
        <v>2</v>
      </c>
      <c r="S186" s="16">
        <v>0.28350562431410409</v>
      </c>
    </row>
    <row r="187" spans="4:19" x14ac:dyDescent="0.25">
      <c r="D187" s="38">
        <v>0.59431757166584076</v>
      </c>
      <c r="E187" s="4">
        <v>181</v>
      </c>
      <c r="F187" s="4">
        <f t="shared" si="32"/>
        <v>2</v>
      </c>
      <c r="G187" s="4">
        <f t="shared" si="35"/>
        <v>409</v>
      </c>
      <c r="H187" s="4">
        <f t="shared" si="33"/>
        <v>409</v>
      </c>
      <c r="I187" s="4">
        <f t="shared" si="34"/>
        <v>409</v>
      </c>
      <c r="J187" s="4" t="str">
        <f t="shared" si="36"/>
        <v>Server 1</v>
      </c>
      <c r="K187" s="4">
        <f t="shared" si="28"/>
        <v>3</v>
      </c>
      <c r="L187" s="4">
        <f t="shared" si="29"/>
        <v>409</v>
      </c>
      <c r="M187" s="7">
        <f t="shared" si="30"/>
        <v>412</v>
      </c>
      <c r="N187" s="7" t="str">
        <f t="shared" si="31"/>
        <v>-</v>
      </c>
      <c r="O187" s="4">
        <f t="shared" si="37"/>
        <v>0</v>
      </c>
      <c r="P187" s="4"/>
      <c r="Q187" s="4"/>
      <c r="R187" s="4">
        <f t="shared" si="38"/>
        <v>3</v>
      </c>
      <c r="S187" s="16">
        <v>0.50518085378314204</v>
      </c>
    </row>
    <row r="188" spans="4:19" x14ac:dyDescent="0.25">
      <c r="D188" s="38">
        <v>0.14763812539799914</v>
      </c>
      <c r="E188" s="4">
        <v>182</v>
      </c>
      <c r="F188" s="4">
        <f t="shared" si="32"/>
        <v>1</v>
      </c>
      <c r="G188" s="4">
        <f t="shared" si="35"/>
        <v>410</v>
      </c>
      <c r="H188" s="4">
        <f t="shared" si="33"/>
        <v>412</v>
      </c>
      <c r="I188" s="4">
        <f t="shared" si="34"/>
        <v>409</v>
      </c>
      <c r="J188" s="4" t="str">
        <f t="shared" si="36"/>
        <v>Server 2</v>
      </c>
      <c r="K188" s="4">
        <f t="shared" si="28"/>
        <v>3</v>
      </c>
      <c r="L188" s="4">
        <f t="shared" si="29"/>
        <v>410</v>
      </c>
      <c r="M188" s="7" t="str">
        <f t="shared" si="30"/>
        <v>-</v>
      </c>
      <c r="N188" s="7">
        <f t="shared" si="31"/>
        <v>413</v>
      </c>
      <c r="O188" s="4">
        <f t="shared" si="37"/>
        <v>0</v>
      </c>
      <c r="P188" s="4"/>
      <c r="Q188" s="4"/>
      <c r="R188" s="4">
        <f t="shared" si="38"/>
        <v>3</v>
      </c>
      <c r="S188" s="16">
        <v>4.4880132820023566E-2</v>
      </c>
    </row>
    <row r="189" spans="4:19" x14ac:dyDescent="0.25">
      <c r="D189" s="38">
        <v>0.58487597269826841</v>
      </c>
      <c r="E189" s="4">
        <v>183</v>
      </c>
      <c r="F189" s="4">
        <f t="shared" si="32"/>
        <v>2</v>
      </c>
      <c r="G189" s="4">
        <f t="shared" si="35"/>
        <v>412</v>
      </c>
      <c r="H189" s="4">
        <f t="shared" si="33"/>
        <v>412</v>
      </c>
      <c r="I189" s="4">
        <f t="shared" si="34"/>
        <v>413</v>
      </c>
      <c r="J189" s="4" t="str">
        <f t="shared" si="36"/>
        <v>Server 1</v>
      </c>
      <c r="K189" s="4">
        <f t="shared" si="28"/>
        <v>2</v>
      </c>
      <c r="L189" s="4">
        <f t="shared" si="29"/>
        <v>412</v>
      </c>
      <c r="M189" s="7">
        <f t="shared" si="30"/>
        <v>414</v>
      </c>
      <c r="N189" s="7" t="str">
        <f t="shared" si="31"/>
        <v>-</v>
      </c>
      <c r="O189" s="4">
        <f t="shared" si="37"/>
        <v>0</v>
      </c>
      <c r="P189" s="4"/>
      <c r="Q189" s="4"/>
      <c r="R189" s="4">
        <f t="shared" si="38"/>
        <v>2</v>
      </c>
      <c r="S189" s="16">
        <v>0.24048022630126953</v>
      </c>
    </row>
    <row r="190" spans="4:19" x14ac:dyDescent="0.25">
      <c r="D190" s="38">
        <v>0.8484747919901191</v>
      </c>
      <c r="E190" s="4">
        <v>184</v>
      </c>
      <c r="F190" s="4">
        <f t="shared" si="32"/>
        <v>3</v>
      </c>
      <c r="G190" s="4">
        <f t="shared" si="35"/>
        <v>415</v>
      </c>
      <c r="H190" s="4">
        <f t="shared" si="33"/>
        <v>414</v>
      </c>
      <c r="I190" s="4">
        <f t="shared" si="34"/>
        <v>413</v>
      </c>
      <c r="J190" s="4" t="str">
        <f t="shared" si="36"/>
        <v>Server 2</v>
      </c>
      <c r="K190" s="4">
        <f t="shared" si="28"/>
        <v>6</v>
      </c>
      <c r="L190" s="4">
        <f t="shared" si="29"/>
        <v>415</v>
      </c>
      <c r="M190" s="7" t="str">
        <f t="shared" si="30"/>
        <v>-</v>
      </c>
      <c r="N190" s="7">
        <f t="shared" si="31"/>
        <v>421</v>
      </c>
      <c r="O190" s="4">
        <f t="shared" si="37"/>
        <v>0</v>
      </c>
      <c r="P190" s="4"/>
      <c r="Q190" s="4"/>
      <c r="R190" s="4">
        <f t="shared" si="38"/>
        <v>6</v>
      </c>
      <c r="S190" s="16">
        <v>0.99505030376129866</v>
      </c>
    </row>
    <row r="191" spans="4:19" x14ac:dyDescent="0.25">
      <c r="D191" s="38">
        <v>9.6597910867780801E-2</v>
      </c>
      <c r="E191" s="4">
        <v>185</v>
      </c>
      <c r="F191" s="4">
        <f t="shared" si="32"/>
        <v>1</v>
      </c>
      <c r="G191" s="4">
        <f t="shared" si="35"/>
        <v>416</v>
      </c>
      <c r="H191" s="4">
        <f t="shared" si="33"/>
        <v>421</v>
      </c>
      <c r="I191" s="4">
        <f t="shared" si="34"/>
        <v>413</v>
      </c>
      <c r="J191" s="4" t="str">
        <f t="shared" si="36"/>
        <v>Server 2</v>
      </c>
      <c r="K191" s="4">
        <f t="shared" si="28"/>
        <v>3</v>
      </c>
      <c r="L191" s="4">
        <f t="shared" si="29"/>
        <v>416</v>
      </c>
      <c r="M191" s="7" t="str">
        <f t="shared" si="30"/>
        <v>-</v>
      </c>
      <c r="N191" s="7">
        <f t="shared" si="31"/>
        <v>419</v>
      </c>
      <c r="O191" s="4">
        <f t="shared" si="37"/>
        <v>0</v>
      </c>
      <c r="P191" s="4"/>
      <c r="Q191" s="4"/>
      <c r="R191" s="4">
        <f t="shared" si="38"/>
        <v>3</v>
      </c>
      <c r="S191" s="16">
        <v>0.29877037629776837</v>
      </c>
    </row>
    <row r="192" spans="4:19" x14ac:dyDescent="0.25">
      <c r="D192" s="38">
        <v>6.2876629469705847E-2</v>
      </c>
      <c r="E192" s="4">
        <v>186</v>
      </c>
      <c r="F192" s="4">
        <f t="shared" si="32"/>
        <v>1</v>
      </c>
      <c r="G192" s="4">
        <f t="shared" si="35"/>
        <v>417</v>
      </c>
      <c r="H192" s="4">
        <f t="shared" si="33"/>
        <v>421</v>
      </c>
      <c r="I192" s="4">
        <f t="shared" si="34"/>
        <v>419</v>
      </c>
      <c r="J192" s="4" t="str">
        <f t="shared" si="36"/>
        <v>Server 2</v>
      </c>
      <c r="K192" s="4">
        <f t="shared" si="28"/>
        <v>4</v>
      </c>
      <c r="L192" s="4">
        <f t="shared" si="29"/>
        <v>419</v>
      </c>
      <c r="M192" s="7" t="str">
        <f t="shared" si="30"/>
        <v>-</v>
      </c>
      <c r="N192" s="7">
        <f t="shared" si="31"/>
        <v>423</v>
      </c>
      <c r="O192" s="4">
        <f t="shared" si="37"/>
        <v>2</v>
      </c>
      <c r="P192" s="4"/>
      <c r="Q192" s="4"/>
      <c r="R192" s="4">
        <f t="shared" si="38"/>
        <v>6</v>
      </c>
      <c r="S192" s="16">
        <v>0.57960595779041102</v>
      </c>
    </row>
    <row r="193" spans="4:19" x14ac:dyDescent="0.25">
      <c r="D193" s="38">
        <v>0.60604192807958834</v>
      </c>
      <c r="E193" s="4">
        <v>187</v>
      </c>
      <c r="F193" s="4">
        <f t="shared" si="32"/>
        <v>2</v>
      </c>
      <c r="G193" s="4">
        <f t="shared" si="35"/>
        <v>419</v>
      </c>
      <c r="H193" s="4">
        <f t="shared" si="33"/>
        <v>421</v>
      </c>
      <c r="I193" s="4">
        <f t="shared" si="34"/>
        <v>423</v>
      </c>
      <c r="J193" s="4" t="str">
        <f t="shared" si="36"/>
        <v>Server 1</v>
      </c>
      <c r="K193" s="4">
        <f t="shared" si="28"/>
        <v>2</v>
      </c>
      <c r="L193" s="4">
        <f t="shared" si="29"/>
        <v>421</v>
      </c>
      <c r="M193" s="7">
        <f t="shared" si="30"/>
        <v>423</v>
      </c>
      <c r="N193" s="7" t="str">
        <f t="shared" si="31"/>
        <v>-</v>
      </c>
      <c r="O193" s="4">
        <f t="shared" si="37"/>
        <v>2</v>
      </c>
      <c r="P193" s="4"/>
      <c r="Q193" s="4"/>
      <c r="R193" s="4">
        <f t="shared" si="38"/>
        <v>4</v>
      </c>
      <c r="S193" s="16">
        <v>0.10437936160671135</v>
      </c>
    </row>
    <row r="194" spans="4:19" x14ac:dyDescent="0.25">
      <c r="D194" s="38">
        <v>0.1212429888391654</v>
      </c>
      <c r="E194" s="4">
        <v>188</v>
      </c>
      <c r="F194" s="4">
        <f t="shared" si="32"/>
        <v>1</v>
      </c>
      <c r="G194" s="4">
        <f t="shared" si="35"/>
        <v>420</v>
      </c>
      <c r="H194" s="4">
        <f t="shared" si="33"/>
        <v>423</v>
      </c>
      <c r="I194" s="4">
        <f t="shared" si="34"/>
        <v>423</v>
      </c>
      <c r="J194" s="4" t="str">
        <f t="shared" si="36"/>
        <v>Server 1</v>
      </c>
      <c r="K194" s="4">
        <f t="shared" si="28"/>
        <v>3</v>
      </c>
      <c r="L194" s="4">
        <f t="shared" si="29"/>
        <v>423</v>
      </c>
      <c r="M194" s="7">
        <f t="shared" si="30"/>
        <v>426</v>
      </c>
      <c r="N194" s="7" t="str">
        <f t="shared" si="31"/>
        <v>-</v>
      </c>
      <c r="O194" s="4">
        <f t="shared" si="37"/>
        <v>3</v>
      </c>
      <c r="P194" s="4"/>
      <c r="Q194" s="4"/>
      <c r="R194" s="4">
        <f t="shared" si="38"/>
        <v>6</v>
      </c>
      <c r="S194" s="16">
        <v>0.30297560730571393</v>
      </c>
    </row>
    <row r="195" spans="4:19" x14ac:dyDescent="0.25">
      <c r="D195" s="38">
        <v>0.26323121529340143</v>
      </c>
      <c r="E195" s="4">
        <v>189</v>
      </c>
      <c r="F195" s="4">
        <f t="shared" si="32"/>
        <v>2</v>
      </c>
      <c r="G195" s="4">
        <f t="shared" si="35"/>
        <v>422</v>
      </c>
      <c r="H195" s="4">
        <f t="shared" si="33"/>
        <v>426</v>
      </c>
      <c r="I195" s="4">
        <f t="shared" si="34"/>
        <v>423</v>
      </c>
      <c r="J195" s="4" t="str">
        <f t="shared" si="36"/>
        <v>Server 2</v>
      </c>
      <c r="K195" s="4">
        <f t="shared" si="28"/>
        <v>3</v>
      </c>
      <c r="L195" s="4">
        <f t="shared" si="29"/>
        <v>423</v>
      </c>
      <c r="M195" s="7" t="str">
        <f t="shared" si="30"/>
        <v>-</v>
      </c>
      <c r="N195" s="7">
        <f t="shared" si="31"/>
        <v>426</v>
      </c>
      <c r="O195" s="4">
        <f t="shared" si="37"/>
        <v>1</v>
      </c>
      <c r="P195" s="4"/>
      <c r="Q195" s="4"/>
      <c r="R195" s="4">
        <f t="shared" si="38"/>
        <v>4</v>
      </c>
      <c r="S195" s="16">
        <v>0.29899562398875468</v>
      </c>
    </row>
    <row r="196" spans="4:19" x14ac:dyDescent="0.25">
      <c r="D196" s="38">
        <v>0.63044723889984766</v>
      </c>
      <c r="E196" s="4">
        <v>190</v>
      </c>
      <c r="F196" s="4">
        <f t="shared" si="32"/>
        <v>2</v>
      </c>
      <c r="G196" s="4">
        <f t="shared" si="35"/>
        <v>424</v>
      </c>
      <c r="H196" s="4">
        <f t="shared" si="33"/>
        <v>426</v>
      </c>
      <c r="I196" s="4">
        <f t="shared" si="34"/>
        <v>426</v>
      </c>
      <c r="J196" s="4" t="str">
        <f t="shared" si="36"/>
        <v>Server 1</v>
      </c>
      <c r="K196" s="4">
        <f t="shared" si="28"/>
        <v>4</v>
      </c>
      <c r="L196" s="4">
        <f t="shared" si="29"/>
        <v>426</v>
      </c>
      <c r="M196" s="7">
        <f t="shared" si="30"/>
        <v>430</v>
      </c>
      <c r="N196" s="7" t="str">
        <f t="shared" si="31"/>
        <v>-</v>
      </c>
      <c r="O196" s="4">
        <f t="shared" si="37"/>
        <v>2</v>
      </c>
      <c r="P196" s="4"/>
      <c r="Q196" s="4"/>
      <c r="R196" s="4">
        <f t="shared" si="38"/>
        <v>6</v>
      </c>
      <c r="S196" s="16">
        <v>0.60717658406179764</v>
      </c>
    </row>
    <row r="197" spans="4:19" x14ac:dyDescent="0.25">
      <c r="D197" s="38">
        <v>0.47836720737742167</v>
      </c>
      <c r="E197" s="4">
        <v>191</v>
      </c>
      <c r="F197" s="4">
        <f t="shared" si="32"/>
        <v>2</v>
      </c>
      <c r="G197" s="4">
        <f t="shared" si="35"/>
        <v>426</v>
      </c>
      <c r="H197" s="4">
        <f t="shared" si="33"/>
        <v>430</v>
      </c>
      <c r="I197" s="4">
        <f t="shared" si="34"/>
        <v>426</v>
      </c>
      <c r="J197" s="4" t="str">
        <f t="shared" si="36"/>
        <v>Server 2</v>
      </c>
      <c r="K197" s="4">
        <f t="shared" si="28"/>
        <v>4</v>
      </c>
      <c r="L197" s="4">
        <f t="shared" si="29"/>
        <v>426</v>
      </c>
      <c r="M197" s="7" t="str">
        <f t="shared" si="30"/>
        <v>-</v>
      </c>
      <c r="N197" s="7">
        <f t="shared" si="31"/>
        <v>430</v>
      </c>
      <c r="O197" s="4">
        <f t="shared" si="37"/>
        <v>0</v>
      </c>
      <c r="P197" s="4"/>
      <c r="Q197" s="4"/>
      <c r="R197" s="4">
        <f t="shared" si="38"/>
        <v>4</v>
      </c>
      <c r="S197" s="16">
        <v>0.53576570726283057</v>
      </c>
    </row>
    <row r="198" spans="4:19" x14ac:dyDescent="0.25">
      <c r="D198" s="38">
        <v>0.98964009949918286</v>
      </c>
      <c r="E198" s="4">
        <v>192</v>
      </c>
      <c r="F198" s="4">
        <f t="shared" si="32"/>
        <v>4</v>
      </c>
      <c r="G198" s="4">
        <f t="shared" si="35"/>
        <v>430</v>
      </c>
      <c r="H198" s="4">
        <f t="shared" si="33"/>
        <v>430</v>
      </c>
      <c r="I198" s="4">
        <f t="shared" si="34"/>
        <v>430</v>
      </c>
      <c r="J198" s="4" t="str">
        <f t="shared" si="36"/>
        <v>Server 1</v>
      </c>
      <c r="K198" s="4">
        <f t="shared" si="28"/>
        <v>4</v>
      </c>
      <c r="L198" s="4">
        <f t="shared" si="29"/>
        <v>430</v>
      </c>
      <c r="M198" s="7">
        <f t="shared" si="30"/>
        <v>434</v>
      </c>
      <c r="N198" s="7" t="str">
        <f t="shared" si="31"/>
        <v>-</v>
      </c>
      <c r="O198" s="4">
        <f t="shared" si="37"/>
        <v>0</v>
      </c>
      <c r="P198" s="4"/>
      <c r="Q198" s="4"/>
      <c r="R198" s="4">
        <f t="shared" si="38"/>
        <v>4</v>
      </c>
      <c r="S198" s="16">
        <v>0.82816403428622232</v>
      </c>
    </row>
    <row r="199" spans="4:19" x14ac:dyDescent="0.25">
      <c r="D199" s="38">
        <v>0.68920398561972074</v>
      </c>
      <c r="E199" s="4">
        <v>193</v>
      </c>
      <c r="F199" s="4">
        <f t="shared" si="32"/>
        <v>3</v>
      </c>
      <c r="G199" s="4">
        <f t="shared" si="35"/>
        <v>433</v>
      </c>
      <c r="H199" s="4">
        <f t="shared" si="33"/>
        <v>434</v>
      </c>
      <c r="I199" s="4">
        <f t="shared" si="34"/>
        <v>430</v>
      </c>
      <c r="J199" s="4" t="str">
        <f t="shared" si="36"/>
        <v>Server 2</v>
      </c>
      <c r="K199" s="4">
        <f t="shared" si="28"/>
        <v>6</v>
      </c>
      <c r="L199" s="4">
        <f t="shared" si="29"/>
        <v>433</v>
      </c>
      <c r="M199" s="7" t="str">
        <f t="shared" si="30"/>
        <v>-</v>
      </c>
      <c r="N199" s="7">
        <f t="shared" si="31"/>
        <v>439</v>
      </c>
      <c r="O199" s="4">
        <f t="shared" si="37"/>
        <v>0</v>
      </c>
      <c r="P199" s="4"/>
      <c r="Q199" s="4"/>
      <c r="R199" s="4">
        <f t="shared" si="38"/>
        <v>6</v>
      </c>
      <c r="S199" s="16">
        <v>0.83176785090017702</v>
      </c>
    </row>
    <row r="200" spans="4:19" x14ac:dyDescent="0.25">
      <c r="D200" s="38">
        <v>0.63433699283698286</v>
      </c>
      <c r="E200" s="4">
        <v>194</v>
      </c>
      <c r="F200" s="4">
        <f t="shared" si="32"/>
        <v>2</v>
      </c>
      <c r="G200" s="4">
        <f t="shared" si="35"/>
        <v>435</v>
      </c>
      <c r="H200" s="4">
        <f t="shared" si="33"/>
        <v>434</v>
      </c>
      <c r="I200" s="4">
        <f t="shared" si="34"/>
        <v>439</v>
      </c>
      <c r="J200" s="4" t="str">
        <f t="shared" si="36"/>
        <v>Server 1</v>
      </c>
      <c r="K200" s="4">
        <f t="shared" ref="K200:K206" si="39">ServiceTime2(J200,S200)</f>
        <v>3</v>
      </c>
      <c r="L200" s="4">
        <f t="shared" ref="L200:L206" si="40">MAX(HLOOKUP(J200,$H$6:$I$999,E200+1,FALSE),G200)</f>
        <v>435</v>
      </c>
      <c r="M200" s="7">
        <f t="shared" ref="M200:M206" si="41">IF(J200="Server 1",K200+MAX(H200,G200),"-")</f>
        <v>438</v>
      </c>
      <c r="N200" s="7" t="str">
        <f t="shared" ref="N200:N206" si="42">IF(J200="Server 2",K200+MAX(I200,G200),"-")</f>
        <v>-</v>
      </c>
      <c r="O200" s="4">
        <f t="shared" si="37"/>
        <v>0</v>
      </c>
      <c r="P200" s="4"/>
      <c r="Q200" s="4"/>
      <c r="R200" s="4">
        <f t="shared" si="38"/>
        <v>3</v>
      </c>
      <c r="S200" s="16">
        <v>0.37185384312865111</v>
      </c>
    </row>
    <row r="201" spans="4:19" x14ac:dyDescent="0.25">
      <c r="D201" s="38">
        <v>0.89694119779279524</v>
      </c>
      <c r="E201" s="4">
        <v>195</v>
      </c>
      <c r="F201" s="4">
        <f t="shared" ref="F201:F206" si="43">InterArivalTime(D201)</f>
        <v>4</v>
      </c>
      <c r="G201" s="4">
        <f t="shared" si="35"/>
        <v>439</v>
      </c>
      <c r="H201" s="4">
        <f t="shared" si="33"/>
        <v>438</v>
      </c>
      <c r="I201" s="4">
        <f t="shared" si="34"/>
        <v>439</v>
      </c>
      <c r="J201" s="4" t="str">
        <f t="shared" si="36"/>
        <v>Server 1</v>
      </c>
      <c r="K201" s="4">
        <f t="shared" si="39"/>
        <v>3</v>
      </c>
      <c r="L201" s="4">
        <f t="shared" si="40"/>
        <v>439</v>
      </c>
      <c r="M201" s="7">
        <f t="shared" si="41"/>
        <v>442</v>
      </c>
      <c r="N201" s="7" t="str">
        <f t="shared" si="42"/>
        <v>-</v>
      </c>
      <c r="O201" s="4">
        <f t="shared" si="37"/>
        <v>0</v>
      </c>
      <c r="P201" s="4"/>
      <c r="Q201" s="4"/>
      <c r="R201" s="4">
        <f t="shared" si="38"/>
        <v>3</v>
      </c>
      <c r="S201" s="16">
        <v>0.48366150497697546</v>
      </c>
    </row>
    <row r="202" spans="4:19" x14ac:dyDescent="0.25">
      <c r="D202" s="38">
        <v>0.5070927617562706</v>
      </c>
      <c r="E202" s="4">
        <v>196</v>
      </c>
      <c r="F202" s="4">
        <f t="shared" si="43"/>
        <v>2</v>
      </c>
      <c r="G202" s="4">
        <f t="shared" si="35"/>
        <v>441</v>
      </c>
      <c r="H202" s="4">
        <f t="shared" ref="H202:H206" si="44">ServerAvailable1(H201,I201,G201,K201)</f>
        <v>442</v>
      </c>
      <c r="I202" s="4">
        <f t="shared" ref="I202:I206" si="45">ServerAvailable2(I201,H201,G201,K201)</f>
        <v>439</v>
      </c>
      <c r="J202" s="4" t="str">
        <f t="shared" si="36"/>
        <v>Server 2</v>
      </c>
      <c r="K202" s="4">
        <f t="shared" si="39"/>
        <v>3</v>
      </c>
      <c r="L202" s="4">
        <f t="shared" si="40"/>
        <v>441</v>
      </c>
      <c r="M202" s="7" t="str">
        <f t="shared" si="41"/>
        <v>-</v>
      </c>
      <c r="N202" s="7">
        <f t="shared" si="42"/>
        <v>444</v>
      </c>
      <c r="O202" s="4">
        <f t="shared" si="37"/>
        <v>0</v>
      </c>
      <c r="P202" s="4"/>
      <c r="Q202" s="4"/>
      <c r="R202" s="4">
        <f t="shared" si="38"/>
        <v>3</v>
      </c>
      <c r="S202" s="16">
        <v>0.27032778809204894</v>
      </c>
    </row>
    <row r="203" spans="4:19" x14ac:dyDescent="0.25">
      <c r="D203" s="38">
        <v>0.97086286268856736</v>
      </c>
      <c r="E203" s="4">
        <v>197</v>
      </c>
      <c r="F203" s="4">
        <f t="shared" si="43"/>
        <v>4</v>
      </c>
      <c r="G203" s="4">
        <f t="shared" si="35"/>
        <v>445</v>
      </c>
      <c r="H203" s="4">
        <f t="shared" si="44"/>
        <v>442</v>
      </c>
      <c r="I203" s="4">
        <f t="shared" si="45"/>
        <v>444</v>
      </c>
      <c r="J203" s="4" t="str">
        <f t="shared" si="36"/>
        <v>Server 1</v>
      </c>
      <c r="K203" s="4">
        <f t="shared" si="39"/>
        <v>3</v>
      </c>
      <c r="L203" s="4">
        <f t="shared" si="40"/>
        <v>445</v>
      </c>
      <c r="M203" s="7">
        <f t="shared" si="41"/>
        <v>448</v>
      </c>
      <c r="N203" s="7" t="str">
        <f t="shared" si="42"/>
        <v>-</v>
      </c>
      <c r="O203" s="4">
        <f t="shared" si="37"/>
        <v>0</v>
      </c>
      <c r="P203" s="4"/>
      <c r="Q203" s="4"/>
      <c r="R203" s="4">
        <f t="shared" si="38"/>
        <v>3</v>
      </c>
      <c r="S203" s="16">
        <v>0.43096555770168066</v>
      </c>
    </row>
    <row r="204" spans="4:19" x14ac:dyDescent="0.25">
      <c r="D204" s="38">
        <v>0.61804896242312535</v>
      </c>
      <c r="E204" s="4">
        <v>198</v>
      </c>
      <c r="F204" s="4">
        <f t="shared" si="43"/>
        <v>2</v>
      </c>
      <c r="G204" s="4">
        <f t="shared" si="35"/>
        <v>447</v>
      </c>
      <c r="H204" s="4">
        <f t="shared" si="44"/>
        <v>448</v>
      </c>
      <c r="I204" s="4">
        <f t="shared" si="45"/>
        <v>444</v>
      </c>
      <c r="J204" s="4" t="str">
        <f t="shared" si="36"/>
        <v>Server 2</v>
      </c>
      <c r="K204" s="4">
        <f t="shared" si="39"/>
        <v>4</v>
      </c>
      <c r="L204" s="4">
        <f t="shared" si="40"/>
        <v>447</v>
      </c>
      <c r="M204" s="7" t="str">
        <f t="shared" si="41"/>
        <v>-</v>
      </c>
      <c r="N204" s="7">
        <f t="shared" si="42"/>
        <v>451</v>
      </c>
      <c r="O204" s="4">
        <f t="shared" si="37"/>
        <v>0</v>
      </c>
      <c r="P204" s="4"/>
      <c r="Q204" s="4"/>
      <c r="R204" s="4">
        <f t="shared" si="38"/>
        <v>4</v>
      </c>
      <c r="S204" s="16">
        <v>0.35205546799724752</v>
      </c>
    </row>
    <row r="205" spans="4:19" x14ac:dyDescent="0.25">
      <c r="D205" s="38">
        <v>0.15611429042028657</v>
      </c>
      <c r="E205" s="4">
        <v>199</v>
      </c>
      <c r="F205" s="4">
        <f t="shared" si="43"/>
        <v>1</v>
      </c>
      <c r="G205" s="4">
        <f t="shared" si="35"/>
        <v>448</v>
      </c>
      <c r="H205" s="4">
        <f t="shared" si="44"/>
        <v>448</v>
      </c>
      <c r="I205" s="4">
        <f t="shared" si="45"/>
        <v>451</v>
      </c>
      <c r="J205" s="4" t="str">
        <f t="shared" si="36"/>
        <v>Server 1</v>
      </c>
      <c r="K205" s="4">
        <f t="shared" si="39"/>
        <v>5</v>
      </c>
      <c r="L205" s="4">
        <f t="shared" si="40"/>
        <v>448</v>
      </c>
      <c r="M205" s="7">
        <f t="shared" si="41"/>
        <v>453</v>
      </c>
      <c r="N205" s="7" t="str">
        <f t="shared" si="42"/>
        <v>-</v>
      </c>
      <c r="O205" s="4">
        <f t="shared" si="37"/>
        <v>0</v>
      </c>
      <c r="P205" s="4"/>
      <c r="Q205" s="4"/>
      <c r="R205" s="4">
        <f t="shared" si="38"/>
        <v>5</v>
      </c>
      <c r="S205" s="16">
        <v>0.96102949804329529</v>
      </c>
    </row>
    <row r="206" spans="4:19" x14ac:dyDescent="0.25">
      <c r="D206" s="38">
        <v>0.13380251387708153</v>
      </c>
      <c r="E206" s="4">
        <v>200</v>
      </c>
      <c r="F206" s="4">
        <f t="shared" si="43"/>
        <v>1</v>
      </c>
      <c r="G206" s="4">
        <f t="shared" si="35"/>
        <v>449</v>
      </c>
      <c r="H206" s="4">
        <f t="shared" si="44"/>
        <v>453</v>
      </c>
      <c r="I206" s="4">
        <f t="shared" si="45"/>
        <v>451</v>
      </c>
      <c r="J206" s="4" t="str">
        <f t="shared" si="36"/>
        <v>Server 2</v>
      </c>
      <c r="K206" s="4">
        <f t="shared" si="39"/>
        <v>4</v>
      </c>
      <c r="L206" s="4">
        <f t="shared" si="40"/>
        <v>451</v>
      </c>
      <c r="M206" s="7" t="str">
        <f t="shared" si="41"/>
        <v>-</v>
      </c>
      <c r="N206" s="7">
        <f t="shared" si="42"/>
        <v>455</v>
      </c>
      <c r="O206" s="4">
        <f t="shared" si="37"/>
        <v>2</v>
      </c>
      <c r="P206" s="4"/>
      <c r="Q206" s="4"/>
      <c r="R206" s="4">
        <f t="shared" si="38"/>
        <v>6</v>
      </c>
      <c r="S206" s="16">
        <v>0.59004752640724167</v>
      </c>
    </row>
    <row r="207" spans="4:19" x14ac:dyDescent="0.25">
      <c r="D207" s="38">
        <v>0.18582713918868343</v>
      </c>
      <c r="E207" s="4"/>
      <c r="F207" s="4"/>
      <c r="G207" s="4"/>
      <c r="H207" s="4"/>
      <c r="I207" s="4"/>
      <c r="J207" s="4"/>
      <c r="K207" s="4"/>
      <c r="L207" s="4"/>
      <c r="M207" s="7"/>
      <c r="N207" s="7"/>
      <c r="O207" s="4"/>
      <c r="P207" s="4"/>
      <c r="Q207" s="4"/>
      <c r="R207" s="4"/>
      <c r="S207" s="16">
        <v>0.87770339099762118</v>
      </c>
    </row>
    <row r="208" spans="4:19" x14ac:dyDescent="0.25">
      <c r="D208" s="38">
        <v>0.2139866018883867</v>
      </c>
      <c r="E208" s="4"/>
      <c r="F208" s="4"/>
      <c r="G208" s="4"/>
      <c r="H208" s="4"/>
      <c r="I208" s="4"/>
      <c r="J208" s="4"/>
      <c r="K208" s="4"/>
      <c r="L208" s="4"/>
      <c r="M208" s="7"/>
      <c r="N208" s="7"/>
      <c r="O208" s="4"/>
      <c r="P208" s="4"/>
      <c r="Q208" s="4"/>
      <c r="R208" s="4"/>
      <c r="S208" s="16">
        <v>5.8798920822089595E-3</v>
      </c>
    </row>
    <row r="209" spans="4:19" x14ac:dyDescent="0.25">
      <c r="D209" s="38">
        <v>0.38167652379293648</v>
      </c>
      <c r="E209" s="4"/>
      <c r="F209" s="4"/>
      <c r="G209" s="4"/>
      <c r="H209" s="4"/>
      <c r="I209" s="4"/>
      <c r="J209" s="4"/>
      <c r="K209" s="4"/>
      <c r="L209" s="4"/>
      <c r="M209" s="7"/>
      <c r="N209" s="7"/>
      <c r="O209" s="4"/>
      <c r="P209" s="4"/>
      <c r="Q209" s="4"/>
      <c r="R209" s="4"/>
      <c r="S209" s="16">
        <v>0.49203326073469522</v>
      </c>
    </row>
    <row r="210" spans="4:19" x14ac:dyDescent="0.25">
      <c r="D210" s="38">
        <v>0.73114504439342898</v>
      </c>
      <c r="E210" s="4"/>
      <c r="F210" s="4"/>
      <c r="G210" s="4"/>
      <c r="H210" s="4"/>
      <c r="I210" s="4"/>
      <c r="J210" s="4"/>
      <c r="K210" s="4"/>
      <c r="L210" s="4"/>
      <c r="M210" s="7"/>
      <c r="N210" s="7"/>
      <c r="O210" s="4"/>
      <c r="P210" s="4"/>
      <c r="Q210" s="4"/>
      <c r="R210" s="4"/>
      <c r="S210" s="16">
        <v>0.87972889566320989</v>
      </c>
    </row>
    <row r="211" spans="4:19" x14ac:dyDescent="0.25">
      <c r="D211" s="38">
        <v>0.80437956392059806</v>
      </c>
      <c r="E211" s="4"/>
      <c r="F211" s="4"/>
      <c r="G211" s="4"/>
      <c r="H211" s="4"/>
      <c r="I211" s="4"/>
      <c r="J211" s="4"/>
      <c r="K211" s="4"/>
      <c r="L211" s="4"/>
      <c r="M211" s="7"/>
      <c r="N211" s="7"/>
      <c r="O211" s="4"/>
      <c r="P211" s="4"/>
      <c r="Q211" s="4"/>
      <c r="R211" s="4"/>
      <c r="S211" s="16">
        <v>8.167528460212814E-2</v>
      </c>
    </row>
    <row r="212" spans="4:19" x14ac:dyDescent="0.25">
      <c r="D212" s="38">
        <v>0.62684305699243004</v>
      </c>
      <c r="E212" s="4"/>
      <c r="F212" s="4"/>
      <c r="G212" s="4"/>
      <c r="H212" s="4"/>
      <c r="I212" s="4"/>
      <c r="J212" s="4"/>
      <c r="K212" s="4"/>
      <c r="L212" s="4"/>
      <c r="M212" s="7"/>
      <c r="N212" s="7"/>
      <c r="O212" s="4"/>
      <c r="P212" s="4"/>
      <c r="Q212" s="4"/>
      <c r="R212" s="4"/>
      <c r="S212" s="16">
        <v>0.5873288410960974</v>
      </c>
    </row>
    <row r="213" spans="4:19" x14ac:dyDescent="0.25">
      <c r="D213" s="38">
        <v>0.11220494591322516</v>
      </c>
      <c r="E213" s="4"/>
      <c r="F213" s="4"/>
      <c r="G213" s="4"/>
      <c r="H213" s="4"/>
      <c r="I213" s="4"/>
      <c r="J213" s="4"/>
      <c r="K213" s="4"/>
      <c r="L213" s="4"/>
      <c r="M213" s="7"/>
      <c r="N213" s="7"/>
      <c r="O213" s="4"/>
      <c r="P213" s="4"/>
      <c r="Q213" s="4"/>
      <c r="R213" s="4"/>
      <c r="S213" s="16">
        <v>0.65273488621532816</v>
      </c>
    </row>
    <row r="214" spans="4:19" x14ac:dyDescent="0.25">
      <c r="D214" s="38">
        <v>0.39049137863494943</v>
      </c>
      <c r="E214" s="4"/>
      <c r="F214" s="4"/>
      <c r="G214" s="4"/>
      <c r="H214" s="4"/>
      <c r="I214" s="4"/>
      <c r="J214" s="4"/>
      <c r="K214" s="4"/>
      <c r="L214" s="4"/>
      <c r="M214" s="7"/>
      <c r="N214" s="7"/>
      <c r="O214" s="4"/>
      <c r="P214" s="4"/>
      <c r="Q214" s="4"/>
      <c r="R214" s="4"/>
      <c r="S214" s="16">
        <v>0.8720511003739666</v>
      </c>
    </row>
    <row r="215" spans="4:19" x14ac:dyDescent="0.25">
      <c r="D215" s="38">
        <v>0.95525887786456942</v>
      </c>
      <c r="E215" s="4"/>
      <c r="F215" s="4"/>
      <c r="G215" s="4"/>
      <c r="H215" s="4"/>
      <c r="I215" s="4"/>
      <c r="J215" s="4"/>
      <c r="K215" s="4"/>
      <c r="L215" s="4"/>
      <c r="M215" s="7"/>
      <c r="N215" s="7"/>
      <c r="O215" s="4"/>
      <c r="P215" s="4"/>
      <c r="Q215" s="4"/>
      <c r="R215" s="4"/>
      <c r="S215" s="16">
        <v>0.74184425109843821</v>
      </c>
    </row>
    <row r="216" spans="4:19" x14ac:dyDescent="0.25">
      <c r="D216" s="38">
        <v>0.36649091270974943</v>
      </c>
      <c r="E216" s="4"/>
      <c r="F216" s="4"/>
      <c r="G216" s="4"/>
      <c r="H216" s="4"/>
      <c r="I216" s="4"/>
      <c r="J216" s="4"/>
      <c r="K216" s="4"/>
      <c r="L216" s="4"/>
      <c r="M216" s="7"/>
      <c r="N216" s="7"/>
      <c r="O216" s="4"/>
      <c r="P216" s="4"/>
      <c r="Q216" s="4"/>
      <c r="R216" s="4"/>
      <c r="S216" s="16">
        <v>0.66025286904938185</v>
      </c>
    </row>
    <row r="217" spans="4:19" x14ac:dyDescent="0.25">
      <c r="D217" s="38">
        <v>0.73411648089207282</v>
      </c>
      <c r="E217" s="4"/>
      <c r="F217" s="4"/>
      <c r="G217" s="4"/>
      <c r="H217" s="4"/>
      <c r="I217" s="4"/>
      <c r="J217" s="4"/>
      <c r="K217" s="4"/>
      <c r="L217" s="4"/>
      <c r="M217" s="7"/>
      <c r="N217" s="7"/>
      <c r="O217" s="4"/>
      <c r="P217" s="4"/>
      <c r="Q217" s="4"/>
      <c r="R217" s="4"/>
      <c r="S217" s="16">
        <v>0.32214404394647678</v>
      </c>
    </row>
    <row r="218" spans="4:19" x14ac:dyDescent="0.25">
      <c r="D218" s="38">
        <v>0.1103277124402805</v>
      </c>
      <c r="E218" s="4"/>
      <c r="F218" s="4"/>
      <c r="G218" s="4"/>
      <c r="H218" s="4"/>
      <c r="I218" s="4"/>
      <c r="J218" s="4"/>
      <c r="K218" s="4"/>
      <c r="L218" s="4"/>
      <c r="M218" s="7"/>
      <c r="N218" s="7"/>
      <c r="O218" s="4"/>
      <c r="P218" s="4"/>
      <c r="Q218" s="4"/>
      <c r="R218" s="4"/>
      <c r="S218" s="16">
        <v>4.2436709503345882E-2</v>
      </c>
    </row>
    <row r="219" spans="4:19" x14ac:dyDescent="0.25">
      <c r="D219" s="38">
        <v>0.50021594556582649</v>
      </c>
      <c r="E219" s="4"/>
      <c r="F219" s="4"/>
      <c r="G219" s="4"/>
      <c r="H219" s="4"/>
      <c r="I219" s="4"/>
      <c r="J219" s="4"/>
      <c r="K219" s="4"/>
      <c r="L219" s="4"/>
      <c r="M219" s="7"/>
      <c r="N219" s="7"/>
      <c r="O219" s="4"/>
      <c r="P219" s="4"/>
      <c r="Q219" s="4"/>
      <c r="R219" s="4"/>
      <c r="S219" s="16">
        <v>0.978191392581787</v>
      </c>
    </row>
    <row r="220" spans="4:19" x14ac:dyDescent="0.25">
      <c r="D220" s="38">
        <v>0.24234672179818384</v>
      </c>
      <c r="E220" s="4"/>
      <c r="F220" s="4"/>
      <c r="G220" s="4"/>
      <c r="H220" s="4"/>
      <c r="I220" s="4"/>
      <c r="J220" s="4"/>
      <c r="K220" s="4"/>
      <c r="L220" s="4"/>
      <c r="M220" s="7"/>
      <c r="N220" s="7"/>
      <c r="O220" s="4"/>
      <c r="P220" s="4"/>
      <c r="Q220" s="4"/>
      <c r="R220" s="4"/>
      <c r="S220" s="16">
        <v>0.92886089633135105</v>
      </c>
    </row>
    <row r="221" spans="4:19" x14ac:dyDescent="0.25">
      <c r="D221" s="38">
        <v>0.29796767296991045</v>
      </c>
      <c r="E221" s="4"/>
      <c r="F221" s="4"/>
      <c r="G221" s="4"/>
      <c r="H221" s="4"/>
      <c r="I221" s="4"/>
      <c r="J221" s="4"/>
      <c r="K221" s="4"/>
      <c r="L221" s="4"/>
      <c r="M221" s="7"/>
      <c r="N221" s="7"/>
      <c r="O221" s="4"/>
      <c r="P221" s="4"/>
      <c r="Q221" s="4"/>
      <c r="R221" s="4"/>
      <c r="S221" s="16">
        <v>0.31946301024081658</v>
      </c>
    </row>
    <row r="222" spans="4:19" x14ac:dyDescent="0.25">
      <c r="D222" s="38">
        <v>1.9862507148267983E-2</v>
      </c>
      <c r="E222" s="4"/>
      <c r="F222" s="4"/>
      <c r="G222" s="4"/>
      <c r="H222" s="4"/>
      <c r="I222" s="4"/>
      <c r="J222" s="4"/>
      <c r="K222" s="4"/>
      <c r="L222" s="4"/>
      <c r="M222" s="7"/>
      <c r="N222" s="7"/>
      <c r="O222" s="4"/>
      <c r="P222" s="4"/>
      <c r="Q222" s="4"/>
      <c r="R222" s="4"/>
      <c r="S222" s="16">
        <v>4.3696143989347624E-2</v>
      </c>
    </row>
    <row r="223" spans="4:19" x14ac:dyDescent="0.25">
      <c r="D223" s="38">
        <v>0.25375550146200632</v>
      </c>
      <c r="E223" s="4"/>
      <c r="F223" s="4"/>
      <c r="G223" s="4"/>
      <c r="H223" s="4"/>
      <c r="I223" s="4"/>
      <c r="J223" s="4"/>
      <c r="K223" s="4"/>
      <c r="L223" s="4"/>
      <c r="M223" s="7"/>
      <c r="N223" s="7"/>
      <c r="O223" s="4"/>
      <c r="P223" s="4"/>
      <c r="Q223" s="4"/>
      <c r="R223" s="4"/>
      <c r="S223" s="16">
        <v>0.29701687768202667</v>
      </c>
    </row>
    <row r="224" spans="4:19" x14ac:dyDescent="0.25">
      <c r="D224" s="38">
        <v>0.18790524789707197</v>
      </c>
      <c r="E224" s="4"/>
      <c r="F224" s="4"/>
      <c r="G224" s="4"/>
      <c r="H224" s="4"/>
      <c r="I224" s="4"/>
      <c r="J224" s="4"/>
      <c r="K224" s="4"/>
      <c r="L224" s="4"/>
      <c r="M224" s="7"/>
      <c r="N224" s="7"/>
      <c r="O224" s="4"/>
      <c r="P224" s="4"/>
      <c r="Q224" s="4"/>
      <c r="R224" s="4"/>
      <c r="S224" s="16">
        <v>0.92033721318258777</v>
      </c>
    </row>
    <row r="225" spans="4:19" x14ac:dyDescent="0.25">
      <c r="D225" s="38">
        <v>0.69664579221343037</v>
      </c>
      <c r="E225" s="4"/>
      <c r="F225" s="4"/>
      <c r="G225" s="4"/>
      <c r="H225" s="4"/>
      <c r="I225" s="4"/>
      <c r="J225" s="4"/>
      <c r="K225" s="4"/>
      <c r="L225" s="4"/>
      <c r="M225" s="7"/>
      <c r="N225" s="7"/>
      <c r="O225" s="4"/>
      <c r="P225" s="4"/>
      <c r="Q225" s="4"/>
      <c r="R225" s="4"/>
      <c r="S225" s="16">
        <v>0.6867270178499113</v>
      </c>
    </row>
    <row r="226" spans="4:19" x14ac:dyDescent="0.25">
      <c r="D226" s="38">
        <v>0.98664738763270421</v>
      </c>
      <c r="E226" s="4"/>
      <c r="F226" s="4"/>
      <c r="G226" s="4"/>
      <c r="H226" s="4"/>
      <c r="I226" s="4"/>
      <c r="J226" s="4"/>
      <c r="K226" s="4"/>
      <c r="L226" s="4"/>
      <c r="M226" s="7"/>
      <c r="N226" s="7"/>
      <c r="O226" s="4"/>
      <c r="P226" s="4"/>
      <c r="Q226" s="4"/>
      <c r="R226" s="4"/>
      <c r="S226" s="16">
        <v>0.84894265948060132</v>
      </c>
    </row>
    <row r="227" spans="4:19" x14ac:dyDescent="0.25">
      <c r="D227" s="38">
        <v>0.36652913732300452</v>
      </c>
      <c r="E227" s="4"/>
      <c r="F227" s="4"/>
      <c r="G227" s="4"/>
      <c r="H227" s="4"/>
      <c r="I227" s="4"/>
      <c r="J227" s="4"/>
      <c r="K227" s="4"/>
      <c r="L227" s="4"/>
      <c r="M227" s="7"/>
      <c r="N227" s="7"/>
      <c r="O227" s="4"/>
      <c r="P227" s="4"/>
      <c r="Q227" s="4"/>
      <c r="R227" s="4"/>
      <c r="S227" s="16">
        <v>0.60228457318968953</v>
      </c>
    </row>
    <row r="228" spans="4:19" x14ac:dyDescent="0.25">
      <c r="D228" s="38">
        <v>0.10965185770750241</v>
      </c>
      <c r="E228" s="4"/>
      <c r="F228" s="4"/>
      <c r="G228" s="4"/>
      <c r="H228" s="4"/>
      <c r="I228" s="4"/>
      <c r="J228" s="4"/>
      <c r="K228" s="4"/>
      <c r="L228" s="4"/>
      <c r="M228" s="7"/>
      <c r="N228" s="7"/>
      <c r="O228" s="4"/>
      <c r="P228" s="4"/>
      <c r="Q228" s="4"/>
      <c r="R228" s="4"/>
      <c r="S228" s="16">
        <v>0.89037755905330074</v>
      </c>
    </row>
    <row r="229" spans="4:19" x14ac:dyDescent="0.25">
      <c r="D229" s="38">
        <v>0.18347132904706109</v>
      </c>
      <c r="E229" s="4"/>
      <c r="F229" s="4"/>
      <c r="G229" s="4"/>
      <c r="H229" s="4"/>
      <c r="I229" s="4"/>
      <c r="J229" s="4"/>
      <c r="K229" s="4"/>
      <c r="L229" s="4"/>
      <c r="M229" s="7"/>
      <c r="N229" s="7"/>
      <c r="O229" s="4"/>
      <c r="P229" s="4"/>
      <c r="Q229" s="4"/>
      <c r="R229" s="4"/>
      <c r="S229" s="16">
        <v>0.21374093847276188</v>
      </c>
    </row>
    <row r="230" spans="4:19" x14ac:dyDescent="0.25">
      <c r="D230" s="38">
        <v>0.58401401937477104</v>
      </c>
      <c r="E230" s="4"/>
      <c r="F230" s="4"/>
      <c r="G230" s="4"/>
      <c r="H230" s="4"/>
      <c r="I230" s="4"/>
      <c r="J230" s="4"/>
      <c r="K230" s="4"/>
      <c r="L230" s="4"/>
      <c r="M230" s="7"/>
      <c r="N230" s="7"/>
      <c r="O230" s="4"/>
      <c r="P230" s="4"/>
      <c r="Q230" s="4"/>
      <c r="R230" s="4"/>
      <c r="S230" s="16">
        <v>0.85338074730328228</v>
      </c>
    </row>
    <row r="231" spans="4:19" x14ac:dyDescent="0.25">
      <c r="D231" s="38">
        <v>0.43676838818021979</v>
      </c>
      <c r="E231" s="4"/>
      <c r="F231" s="4"/>
      <c r="G231" s="4"/>
      <c r="H231" s="4"/>
      <c r="I231" s="4"/>
      <c r="J231" s="4"/>
      <c r="K231" s="4"/>
      <c r="L231" s="4"/>
      <c r="M231" s="7"/>
      <c r="N231" s="7"/>
      <c r="O231" s="4"/>
      <c r="P231" s="4"/>
      <c r="Q231" s="4"/>
      <c r="R231" s="4"/>
      <c r="S231" s="16">
        <v>0.54988446955037407</v>
      </c>
    </row>
    <row r="232" spans="4:19" x14ac:dyDescent="0.25">
      <c r="D232" s="38">
        <v>0.88223203859863786</v>
      </c>
      <c r="E232" s="4"/>
      <c r="F232" s="4"/>
      <c r="G232" s="4"/>
      <c r="H232" s="4"/>
      <c r="I232" s="4"/>
      <c r="J232" s="4"/>
      <c r="K232" s="4"/>
      <c r="L232" s="4"/>
      <c r="M232" s="7"/>
      <c r="N232" s="7"/>
      <c r="O232" s="4"/>
      <c r="P232" s="4"/>
      <c r="Q232" s="4"/>
      <c r="R232" s="4"/>
      <c r="S232" s="16">
        <v>0.40850562362642329</v>
      </c>
    </row>
    <row r="233" spans="4:19" x14ac:dyDescent="0.25">
      <c r="D233" s="38">
        <v>0.87621857351906274</v>
      </c>
      <c r="E233" s="4"/>
      <c r="F233" s="4"/>
      <c r="G233" s="4"/>
      <c r="H233" s="4"/>
      <c r="I233" s="4"/>
      <c r="J233" s="4"/>
      <c r="K233" s="4"/>
      <c r="L233" s="4"/>
      <c r="M233" s="7"/>
      <c r="N233" s="7"/>
      <c r="O233" s="4"/>
      <c r="P233" s="4"/>
      <c r="Q233" s="4"/>
      <c r="R233" s="4"/>
      <c r="S233" s="16">
        <v>0.65844690671627093</v>
      </c>
    </row>
    <row r="234" spans="4:19" x14ac:dyDescent="0.25">
      <c r="D234" s="38">
        <v>0.89039607612160887</v>
      </c>
      <c r="E234" s="4"/>
      <c r="F234" s="4"/>
      <c r="G234" s="4"/>
      <c r="H234" s="4"/>
      <c r="I234" s="4"/>
      <c r="J234" s="4"/>
      <c r="K234" s="4"/>
      <c r="L234" s="4"/>
      <c r="M234" s="7"/>
      <c r="N234" s="7"/>
      <c r="O234" s="4"/>
      <c r="P234" s="4"/>
      <c r="Q234" s="4"/>
      <c r="R234" s="4"/>
      <c r="S234" s="16">
        <v>0.17296660959646903</v>
      </c>
    </row>
    <row r="235" spans="4:19" x14ac:dyDescent="0.25">
      <c r="D235" s="38">
        <v>0.88614283848467379</v>
      </c>
      <c r="E235" s="4"/>
      <c r="F235" s="4"/>
      <c r="G235" s="4"/>
      <c r="H235" s="4"/>
      <c r="I235" s="4"/>
      <c r="J235" s="4"/>
      <c r="K235" s="4"/>
      <c r="L235" s="4"/>
      <c r="M235" s="7"/>
      <c r="N235" s="7"/>
      <c r="O235" s="4"/>
      <c r="P235" s="4"/>
      <c r="Q235" s="4"/>
      <c r="R235" s="4"/>
      <c r="S235" s="16">
        <v>0.45581552522364843</v>
      </c>
    </row>
    <row r="236" spans="4:19" x14ac:dyDescent="0.25">
      <c r="D236" s="38">
        <v>2.5242158351713284E-2</v>
      </c>
      <c r="E236" s="4"/>
      <c r="F236" s="4"/>
      <c r="G236" s="4"/>
      <c r="H236" s="4"/>
      <c r="I236" s="4"/>
      <c r="J236" s="4"/>
      <c r="K236" s="4"/>
      <c r="L236" s="4"/>
      <c r="M236" s="7"/>
      <c r="N236" s="7"/>
      <c r="O236" s="4"/>
      <c r="P236" s="4"/>
      <c r="Q236" s="4"/>
      <c r="R236" s="4"/>
      <c r="S236" s="16">
        <v>0.80342957981017404</v>
      </c>
    </row>
    <row r="237" spans="4:19" x14ac:dyDescent="0.25">
      <c r="D237" s="38">
        <v>0.35553770443291388</v>
      </c>
      <c r="E237" s="4"/>
      <c r="F237" s="4"/>
      <c r="G237" s="4"/>
      <c r="H237" s="4"/>
      <c r="I237" s="4"/>
      <c r="J237" s="4"/>
      <c r="K237" s="4"/>
      <c r="L237" s="4"/>
      <c r="M237" s="7"/>
      <c r="N237" s="7"/>
      <c r="O237" s="4"/>
      <c r="P237" s="4"/>
      <c r="Q237" s="4"/>
      <c r="R237" s="4"/>
      <c r="S237" s="16">
        <v>8.0684305188305605E-2</v>
      </c>
    </row>
    <row r="238" spans="4:19" x14ac:dyDescent="0.25">
      <c r="D238" s="38">
        <v>0.74699207606077911</v>
      </c>
      <c r="E238" s="4"/>
      <c r="F238" s="4"/>
      <c r="G238" s="4"/>
      <c r="H238" s="4"/>
      <c r="I238" s="4"/>
      <c r="J238" s="4"/>
      <c r="K238" s="4"/>
      <c r="L238" s="4"/>
      <c r="M238" s="7"/>
      <c r="N238" s="7"/>
      <c r="O238" s="4"/>
      <c r="P238" s="4"/>
      <c r="Q238" s="4"/>
      <c r="R238" s="4"/>
      <c r="S238" s="16">
        <v>1.640059093993218E-2</v>
      </c>
    </row>
    <row r="239" spans="4:19" x14ac:dyDescent="0.25">
      <c r="D239" s="38">
        <v>0.3871194201589454</v>
      </c>
      <c r="E239" s="4"/>
      <c r="F239" s="4"/>
      <c r="G239" s="4"/>
      <c r="H239" s="4"/>
      <c r="I239" s="4"/>
      <c r="J239" s="4"/>
      <c r="K239" s="4"/>
      <c r="L239" s="4"/>
      <c r="M239" s="7"/>
      <c r="N239" s="7"/>
      <c r="O239" s="4"/>
      <c r="P239" s="4"/>
      <c r="Q239" s="4"/>
      <c r="R239" s="4"/>
      <c r="S239" s="16">
        <v>0.3379781296583324</v>
      </c>
    </row>
    <row r="240" spans="4:19" x14ac:dyDescent="0.25">
      <c r="D240" s="38">
        <v>0.45074014576948351</v>
      </c>
      <c r="E240" s="4"/>
      <c r="F240" s="4"/>
      <c r="G240" s="4"/>
      <c r="H240" s="4"/>
      <c r="I240" s="4"/>
      <c r="J240" s="4"/>
      <c r="K240" s="4"/>
      <c r="L240" s="4"/>
      <c r="M240" s="7"/>
      <c r="N240" s="7"/>
      <c r="O240" s="4"/>
      <c r="P240" s="4"/>
      <c r="Q240" s="4"/>
      <c r="R240" s="4"/>
      <c r="S240" s="16">
        <v>0.66731998117660973</v>
      </c>
    </row>
    <row r="241" spans="4:19" x14ac:dyDescent="0.25">
      <c r="D241" s="38">
        <v>0.25623391198933909</v>
      </c>
      <c r="E241" s="4"/>
      <c r="F241" s="4"/>
      <c r="G241" s="4"/>
      <c r="H241" s="4"/>
      <c r="I241" s="4"/>
      <c r="J241" s="4"/>
      <c r="K241" s="4"/>
      <c r="L241" s="4"/>
      <c r="M241" s="7"/>
      <c r="N241" s="7"/>
      <c r="O241" s="4"/>
      <c r="P241" s="4"/>
      <c r="Q241" s="4"/>
      <c r="R241" s="4"/>
      <c r="S241" s="16">
        <v>0.78333933852286619</v>
      </c>
    </row>
    <row r="242" spans="4:19" x14ac:dyDescent="0.25">
      <c r="D242" s="38">
        <v>0.27099951471455075</v>
      </c>
      <c r="E242" s="4"/>
      <c r="F242" s="4"/>
      <c r="G242" s="4"/>
      <c r="H242" s="4"/>
      <c r="I242" s="4"/>
      <c r="J242" s="4"/>
      <c r="K242" s="4"/>
      <c r="L242" s="4"/>
      <c r="M242" s="7"/>
      <c r="N242" s="7"/>
      <c r="O242" s="4"/>
      <c r="P242" s="4"/>
      <c r="Q242" s="4"/>
      <c r="R242" s="4"/>
      <c r="S242" s="16">
        <v>0.18626915459243831</v>
      </c>
    </row>
    <row r="243" spans="4:19" x14ac:dyDescent="0.25">
      <c r="D243" s="38">
        <v>0.25961954528939124</v>
      </c>
      <c r="E243" s="4"/>
      <c r="F243" s="4"/>
      <c r="G243" s="4"/>
      <c r="H243" s="4"/>
      <c r="I243" s="4"/>
      <c r="J243" s="4"/>
      <c r="K243" s="4"/>
      <c r="L243" s="4"/>
      <c r="M243" s="7"/>
      <c r="N243" s="7"/>
      <c r="O243" s="4"/>
      <c r="P243" s="4"/>
      <c r="Q243" s="4"/>
      <c r="R243" s="4"/>
      <c r="S243" s="16">
        <v>0.68433259574909688</v>
      </c>
    </row>
    <row r="244" spans="4:19" x14ac:dyDescent="0.25">
      <c r="D244" s="38">
        <v>0.6063300719240432</v>
      </c>
      <c r="E244" s="4"/>
      <c r="F244" s="4"/>
      <c r="G244" s="4"/>
      <c r="H244" s="4"/>
      <c r="I244" s="4"/>
      <c r="J244" s="4"/>
      <c r="K244" s="4"/>
      <c r="L244" s="4"/>
      <c r="M244" s="7"/>
      <c r="N244" s="7"/>
      <c r="O244" s="4"/>
      <c r="P244" s="4"/>
      <c r="Q244" s="4"/>
      <c r="R244" s="4"/>
      <c r="S244" s="16">
        <v>0.27678153741818756</v>
      </c>
    </row>
    <row r="245" spans="4:19" x14ac:dyDescent="0.25">
      <c r="D245" s="38">
        <v>8.8591424581759282E-2</v>
      </c>
      <c r="E245" s="4"/>
      <c r="F245" s="4"/>
      <c r="G245" s="4"/>
      <c r="H245" s="4"/>
      <c r="I245" s="4"/>
      <c r="J245" s="4"/>
      <c r="K245" s="4"/>
      <c r="L245" s="4"/>
      <c r="M245" s="7"/>
      <c r="N245" s="7"/>
      <c r="O245" s="4"/>
      <c r="P245" s="4"/>
      <c r="Q245" s="4"/>
      <c r="R245" s="4"/>
      <c r="S245" s="16">
        <v>0.13279344823084438</v>
      </c>
    </row>
    <row r="246" spans="4:19" x14ac:dyDescent="0.25">
      <c r="D246" s="38">
        <v>0.3325576873397329</v>
      </c>
      <c r="E246" s="4"/>
      <c r="F246" s="4"/>
      <c r="G246" s="4"/>
      <c r="H246" s="4"/>
      <c r="I246" s="4"/>
      <c r="J246" s="4"/>
      <c r="K246" s="4"/>
      <c r="L246" s="4"/>
      <c r="M246" s="7"/>
      <c r="N246" s="7"/>
      <c r="O246" s="4"/>
      <c r="P246" s="4"/>
      <c r="Q246" s="4"/>
      <c r="R246" s="4"/>
      <c r="S246" s="16">
        <v>0.68961376174189493</v>
      </c>
    </row>
    <row r="247" spans="4:19" x14ac:dyDescent="0.25">
      <c r="D247" s="38">
        <v>0.65088415259152477</v>
      </c>
      <c r="E247" s="4"/>
      <c r="F247" s="4"/>
      <c r="G247" s="4"/>
      <c r="H247" s="4"/>
      <c r="I247" s="4"/>
      <c r="J247" s="4"/>
      <c r="K247" s="4"/>
      <c r="L247" s="4"/>
      <c r="M247" s="7"/>
      <c r="N247" s="7"/>
      <c r="O247" s="4"/>
      <c r="P247" s="4"/>
      <c r="Q247" s="4"/>
      <c r="R247" s="4"/>
      <c r="S247" s="16">
        <v>0.85475050442410849</v>
      </c>
    </row>
    <row r="248" spans="4:19" x14ac:dyDescent="0.25">
      <c r="D248" s="38">
        <v>0.33364244285560118</v>
      </c>
      <c r="E248" s="4"/>
      <c r="F248" s="4"/>
      <c r="G248" s="4"/>
      <c r="H248" s="4"/>
      <c r="I248" s="4"/>
      <c r="J248" s="4"/>
      <c r="K248" s="4"/>
      <c r="L248" s="4"/>
      <c r="M248" s="7"/>
      <c r="N248" s="7"/>
      <c r="O248" s="4"/>
      <c r="P248" s="4"/>
      <c r="Q248" s="4"/>
      <c r="R248" s="4"/>
      <c r="S248" s="16">
        <v>0.10952782892070023</v>
      </c>
    </row>
    <row r="249" spans="4:19" x14ac:dyDescent="0.25">
      <c r="D249" s="38">
        <v>0.31675138869669939</v>
      </c>
      <c r="E249" s="4"/>
      <c r="F249" s="4"/>
      <c r="G249" s="4"/>
      <c r="H249" s="4"/>
      <c r="I249" s="4"/>
      <c r="J249" s="4"/>
      <c r="K249" s="4"/>
      <c r="L249" s="4"/>
      <c r="M249" s="7"/>
      <c r="N249" s="7"/>
      <c r="O249" s="4"/>
      <c r="P249" s="4"/>
      <c r="Q249" s="4"/>
      <c r="R249" s="4"/>
      <c r="S249" s="16">
        <v>0.81678677968109981</v>
      </c>
    </row>
    <row r="250" spans="4:19" x14ac:dyDescent="0.25">
      <c r="D250" s="38">
        <v>0.60791069826838073</v>
      </c>
      <c r="E250" s="4"/>
      <c r="F250" s="4"/>
      <c r="G250" s="4"/>
      <c r="H250" s="4"/>
      <c r="I250" s="4"/>
      <c r="J250" s="4"/>
      <c r="K250" s="4"/>
      <c r="L250" s="4"/>
      <c r="M250" s="7"/>
      <c r="N250" s="7"/>
      <c r="O250" s="4"/>
      <c r="P250" s="4"/>
      <c r="Q250" s="4"/>
      <c r="R250" s="4"/>
      <c r="S250" s="16">
        <v>0.70507658878506974</v>
      </c>
    </row>
    <row r="251" spans="4:19" x14ac:dyDescent="0.25">
      <c r="D251" s="38">
        <v>0.38701285915779504</v>
      </c>
      <c r="E251" s="4"/>
      <c r="F251" s="4"/>
      <c r="G251" s="4"/>
      <c r="H251" s="4"/>
      <c r="I251" s="4"/>
      <c r="J251" s="4"/>
      <c r="K251" s="4"/>
      <c r="L251" s="4"/>
      <c r="M251" s="7"/>
      <c r="N251" s="7"/>
      <c r="O251" s="4"/>
      <c r="P251" s="4"/>
      <c r="Q251" s="4"/>
      <c r="R251" s="4"/>
      <c r="S251" s="16">
        <v>0.43888844258780635</v>
      </c>
    </row>
    <row r="252" spans="4:19" x14ac:dyDescent="0.25">
      <c r="D252" s="38">
        <v>0.70131372880458764</v>
      </c>
      <c r="E252" s="4"/>
      <c r="F252" s="4"/>
      <c r="G252" s="4"/>
      <c r="H252" s="4"/>
      <c r="I252" s="4"/>
      <c r="J252" s="4"/>
      <c r="K252" s="4"/>
      <c r="L252" s="4"/>
      <c r="M252" s="7"/>
      <c r="N252" s="7"/>
      <c r="O252" s="4"/>
      <c r="P252" s="4"/>
      <c r="Q252" s="4"/>
      <c r="R252" s="4"/>
      <c r="S252" s="16">
        <v>0.79159313370683348</v>
      </c>
    </row>
    <row r="253" spans="4:19" x14ac:dyDescent="0.25">
      <c r="D253" s="38">
        <v>0.76616905479364261</v>
      </c>
      <c r="E253" s="4"/>
      <c r="F253" s="4"/>
      <c r="G253" s="4"/>
      <c r="H253" s="4"/>
      <c r="I253" s="4"/>
      <c r="J253" s="4"/>
      <c r="K253" s="4"/>
      <c r="L253" s="4"/>
      <c r="M253" s="7"/>
      <c r="N253" s="7"/>
      <c r="O253" s="4"/>
      <c r="P253" s="4"/>
      <c r="Q253" s="4"/>
      <c r="R253" s="4"/>
      <c r="S253" s="16">
        <v>0.64153157053054743</v>
      </c>
    </row>
    <row r="254" spans="4:19" x14ac:dyDescent="0.25">
      <c r="D254" s="38">
        <v>0.80354951630769422</v>
      </c>
      <c r="E254" s="4"/>
      <c r="F254" s="4"/>
      <c r="G254" s="4"/>
      <c r="H254" s="4"/>
      <c r="I254" s="4"/>
      <c r="J254" s="4"/>
      <c r="K254" s="4"/>
      <c r="L254" s="4"/>
      <c r="M254" s="7"/>
      <c r="N254" s="7"/>
      <c r="O254" s="4"/>
      <c r="P254" s="4"/>
      <c r="Q254" s="4"/>
      <c r="R254" s="4"/>
      <c r="S254" s="16">
        <v>0.61075807562662865</v>
      </c>
    </row>
    <row r="255" spans="4:19" x14ac:dyDescent="0.25">
      <c r="D255" s="38">
        <v>0.57271055513599178</v>
      </c>
      <c r="E255" s="4"/>
      <c r="F255" s="4"/>
      <c r="G255" s="4"/>
      <c r="H255" s="4"/>
      <c r="I255" s="4"/>
      <c r="J255" s="4"/>
      <c r="K255" s="4"/>
      <c r="L255" s="4"/>
      <c r="M255" s="7"/>
      <c r="N255" s="7"/>
      <c r="O255" s="4"/>
      <c r="P255" s="4"/>
      <c r="Q255" s="4"/>
      <c r="R255" s="4"/>
      <c r="S255" s="16">
        <v>0.45727077583940712</v>
      </c>
    </row>
    <row r="256" spans="4:19" x14ac:dyDescent="0.25">
      <c r="D256" s="38">
        <v>0.5854619607069883</v>
      </c>
      <c r="E256" s="4"/>
      <c r="F256" s="4"/>
      <c r="G256" s="4"/>
      <c r="H256" s="4"/>
      <c r="I256" s="4"/>
      <c r="J256" s="4"/>
      <c r="K256" s="4"/>
      <c r="L256" s="4"/>
      <c r="M256" s="7"/>
      <c r="N256" s="7"/>
      <c r="O256" s="4"/>
      <c r="P256" s="4"/>
      <c r="Q256" s="4"/>
      <c r="R256" s="4"/>
      <c r="S256" s="16">
        <v>0.79640957078903141</v>
      </c>
    </row>
    <row r="257" spans="4:19" x14ac:dyDescent="0.25">
      <c r="D257" s="38">
        <v>0.36897609341052895</v>
      </c>
      <c r="E257" s="4"/>
      <c r="F257" s="4"/>
      <c r="G257" s="4"/>
      <c r="H257" s="4"/>
      <c r="I257" s="4"/>
      <c r="J257" s="4"/>
      <c r="K257" s="4"/>
      <c r="L257" s="4"/>
      <c r="M257" s="7"/>
      <c r="N257" s="7"/>
      <c r="O257" s="4"/>
      <c r="P257" s="4"/>
      <c r="Q257" s="4"/>
      <c r="R257" s="4"/>
      <c r="S257" s="16">
        <v>0.40018699574727301</v>
      </c>
    </row>
    <row r="258" spans="4:19" x14ac:dyDescent="0.25">
      <c r="D258" s="38">
        <v>3.3568412106018686E-2</v>
      </c>
      <c r="E258" s="4"/>
      <c r="F258" s="4"/>
      <c r="G258" s="4"/>
      <c r="H258" s="4"/>
      <c r="I258" s="4"/>
      <c r="J258" s="4"/>
      <c r="K258" s="4"/>
      <c r="L258" s="4"/>
      <c r="M258" s="7"/>
      <c r="N258" s="7"/>
      <c r="O258" s="4"/>
      <c r="P258" s="4"/>
      <c r="Q258" s="4"/>
      <c r="R258" s="4"/>
      <c r="S258" s="16">
        <v>0.93276810975934055</v>
      </c>
    </row>
    <row r="259" spans="4:19" x14ac:dyDescent="0.25">
      <c r="D259" s="38">
        <v>0.38885988673973237</v>
      </c>
      <c r="E259" s="4"/>
      <c r="F259" s="4"/>
      <c r="G259" s="4"/>
      <c r="H259" s="4"/>
      <c r="I259" s="4"/>
      <c r="J259" s="4"/>
      <c r="K259" s="4"/>
      <c r="L259" s="4"/>
      <c r="M259" s="7"/>
      <c r="N259" s="7"/>
      <c r="O259" s="4"/>
      <c r="P259" s="4"/>
      <c r="Q259" s="4"/>
      <c r="R259" s="4"/>
      <c r="S259" s="16">
        <v>0.3527470721786351</v>
      </c>
    </row>
    <row r="260" spans="4:19" x14ac:dyDescent="0.25">
      <c r="D260" s="38">
        <v>0.9382752705928652</v>
      </c>
      <c r="E260" s="4"/>
      <c r="F260" s="4"/>
      <c r="G260" s="4"/>
      <c r="H260" s="4"/>
      <c r="I260" s="4"/>
      <c r="J260" s="4"/>
      <c r="K260" s="4"/>
      <c r="L260" s="4"/>
      <c r="M260" s="7"/>
      <c r="N260" s="7"/>
      <c r="O260" s="4"/>
      <c r="P260" s="4"/>
      <c r="Q260" s="4"/>
      <c r="R260" s="4"/>
      <c r="S260" s="16">
        <v>0.87180216357496132</v>
      </c>
    </row>
    <row r="261" spans="4:19" x14ac:dyDescent="0.25">
      <c r="D261" s="38">
        <v>0.24066867459706609</v>
      </c>
      <c r="E261" s="4"/>
      <c r="F261" s="4"/>
      <c r="G261" s="4"/>
      <c r="H261" s="4"/>
      <c r="I261" s="4"/>
      <c r="J261" s="4"/>
      <c r="K261" s="4"/>
      <c r="L261" s="4"/>
      <c r="M261" s="7"/>
      <c r="N261" s="7"/>
      <c r="O261" s="4"/>
      <c r="P261" s="4"/>
      <c r="Q261" s="4"/>
      <c r="R261" s="4"/>
      <c r="S261" s="16">
        <v>3.3236978310351106E-2</v>
      </c>
    </row>
    <row r="262" spans="4:19" x14ac:dyDescent="0.25">
      <c r="D262" s="38">
        <v>0.53080129582362856</v>
      </c>
      <c r="E262" s="4"/>
      <c r="F262" s="4"/>
      <c r="G262" s="4"/>
      <c r="H262" s="4"/>
      <c r="I262" s="4"/>
      <c r="J262" s="4"/>
      <c r="K262" s="4"/>
      <c r="L262" s="4"/>
      <c r="M262" s="7"/>
      <c r="N262" s="7"/>
      <c r="O262" s="4"/>
      <c r="P262" s="4"/>
      <c r="Q262" s="4"/>
      <c r="R262" s="4"/>
      <c r="S262" s="16">
        <v>0.32222336859484568</v>
      </c>
    </row>
    <row r="263" spans="4:19" x14ac:dyDescent="0.25">
      <c r="D263" s="38">
        <v>0.22432334622526806</v>
      </c>
      <c r="E263" s="4"/>
      <c r="F263" s="4"/>
      <c r="G263" s="4"/>
      <c r="H263" s="4"/>
      <c r="I263" s="4"/>
      <c r="J263" s="4"/>
      <c r="K263" s="4"/>
      <c r="L263" s="4"/>
      <c r="M263" s="7"/>
      <c r="N263" s="7"/>
      <c r="O263" s="4"/>
      <c r="P263" s="4"/>
      <c r="Q263" s="4"/>
      <c r="R263" s="4"/>
      <c r="S263" s="16">
        <v>6.2670059963983782E-2</v>
      </c>
    </row>
    <row r="264" spans="4:19" x14ac:dyDescent="0.25">
      <c r="D264" s="38">
        <v>8.4353788410307384E-3</v>
      </c>
      <c r="E264" s="4"/>
      <c r="F264" s="4"/>
      <c r="G264" s="4"/>
      <c r="H264" s="4"/>
      <c r="I264" s="4"/>
      <c r="J264" s="4"/>
      <c r="K264" s="4"/>
      <c r="L264" s="4"/>
      <c r="M264" s="7"/>
      <c r="N264" s="7"/>
      <c r="O264" s="4"/>
      <c r="P264" s="4"/>
      <c r="Q264" s="4"/>
      <c r="R264" s="4"/>
      <c r="S264" s="16">
        <v>0.63975869577927935</v>
      </c>
    </row>
    <row r="265" spans="4:19" x14ac:dyDescent="0.25">
      <c r="D265" s="38">
        <v>0.51749346900395732</v>
      </c>
      <c r="E265" s="4"/>
      <c r="F265" s="4"/>
      <c r="G265" s="4"/>
      <c r="H265" s="4"/>
      <c r="I265" s="4"/>
      <c r="J265" s="4"/>
      <c r="K265" s="4"/>
      <c r="L265" s="4"/>
      <c r="M265" s="7"/>
      <c r="N265" s="7"/>
      <c r="O265" s="4"/>
      <c r="P265" s="4"/>
      <c r="Q265" s="4"/>
      <c r="R265" s="4"/>
      <c r="S265" s="16">
        <v>0.29900615550128185</v>
      </c>
    </row>
    <row r="266" spans="4:19" x14ac:dyDescent="0.25">
      <c r="D266" s="38">
        <v>0.64881725291575998</v>
      </c>
      <c r="E266" s="4"/>
      <c r="F266" s="4"/>
      <c r="G266" s="4"/>
      <c r="H266" s="4"/>
      <c r="I266" s="4"/>
      <c r="J266" s="4"/>
      <c r="K266" s="4"/>
      <c r="L266" s="4"/>
      <c r="M266" s="7"/>
      <c r="N266" s="7"/>
      <c r="O266" s="4"/>
      <c r="P266" s="4"/>
      <c r="Q266" s="4"/>
      <c r="R266" s="4"/>
      <c r="S266" s="16">
        <v>0.84211358585103713</v>
      </c>
    </row>
    <row r="267" spans="4:19" x14ac:dyDescent="0.25">
      <c r="D267" s="38">
        <v>0.15316065659960476</v>
      </c>
      <c r="E267" s="4"/>
      <c r="F267" s="4"/>
      <c r="G267" s="4"/>
      <c r="H267" s="4"/>
      <c r="I267" s="4"/>
      <c r="J267" s="4"/>
      <c r="K267" s="4"/>
      <c r="L267" s="4"/>
      <c r="M267" s="7"/>
      <c r="N267" s="7"/>
      <c r="O267" s="4"/>
      <c r="P267" s="4"/>
      <c r="Q267" s="4"/>
      <c r="R267" s="4"/>
      <c r="S267" s="16">
        <v>0.19905823724573812</v>
      </c>
    </row>
    <row r="268" spans="4:19" x14ac:dyDescent="0.25">
      <c r="D268" s="38">
        <v>0.32033675180761501</v>
      </c>
      <c r="E268" s="4"/>
      <c r="F268" s="4"/>
      <c r="G268" s="4"/>
      <c r="H268" s="4"/>
      <c r="I268" s="4"/>
      <c r="J268" s="4"/>
      <c r="K268" s="4"/>
      <c r="L268" s="4"/>
      <c r="M268" s="7"/>
      <c r="N268" s="7"/>
      <c r="O268" s="4"/>
      <c r="P268" s="4"/>
      <c r="Q268" s="4"/>
      <c r="R268" s="4"/>
      <c r="S268" s="16">
        <v>0.22548041284256426</v>
      </c>
    </row>
    <row r="269" spans="4:19" x14ac:dyDescent="0.25">
      <c r="D269" s="38">
        <v>0.84694549136447772</v>
      </c>
      <c r="E269" s="4"/>
      <c r="F269" s="4"/>
      <c r="G269" s="4"/>
      <c r="H269" s="4"/>
      <c r="I269" s="4"/>
      <c r="J269" s="4"/>
      <c r="K269" s="4"/>
      <c r="L269" s="4"/>
      <c r="M269" s="7"/>
      <c r="N269" s="7"/>
      <c r="O269" s="4"/>
      <c r="P269" s="4"/>
      <c r="Q269" s="4"/>
      <c r="R269" s="4"/>
      <c r="S269" s="16">
        <v>0.87449236289808441</v>
      </c>
    </row>
    <row r="270" spans="4:19" x14ac:dyDescent="0.25">
      <c r="D270" s="38">
        <v>0.44971831815555952</v>
      </c>
      <c r="E270" s="4"/>
      <c r="F270" s="4"/>
      <c r="G270" s="4"/>
      <c r="H270" s="4"/>
      <c r="I270" s="4"/>
      <c r="J270" s="4"/>
      <c r="K270" s="4"/>
      <c r="L270" s="4"/>
      <c r="M270" s="7"/>
      <c r="N270" s="7"/>
      <c r="O270" s="4"/>
      <c r="P270" s="4"/>
      <c r="Q270" s="4"/>
      <c r="R270" s="4"/>
      <c r="S270" s="16">
        <v>0.18010355318894611</v>
      </c>
    </row>
    <row r="271" spans="4:19" x14ac:dyDescent="0.25">
      <c r="D271" s="38">
        <v>0.84014245530512133</v>
      </c>
      <c r="E271" s="4"/>
      <c r="F271" s="4"/>
      <c r="G271" s="4"/>
      <c r="H271" s="4"/>
      <c r="I271" s="4"/>
      <c r="J271" s="4"/>
      <c r="K271" s="4"/>
      <c r="L271" s="4"/>
      <c r="M271" s="7"/>
      <c r="N271" s="7"/>
      <c r="O271" s="4"/>
      <c r="P271" s="4"/>
      <c r="Q271" s="4"/>
      <c r="R271" s="4"/>
      <c r="S271" s="16">
        <v>0.96934355682555307</v>
      </c>
    </row>
    <row r="272" spans="4:19" x14ac:dyDescent="0.25">
      <c r="D272" s="38">
        <v>0.43765538516410418</v>
      </c>
      <c r="E272" s="4"/>
      <c r="F272" s="4"/>
      <c r="G272" s="4"/>
      <c r="H272" s="4"/>
      <c r="I272" s="4"/>
      <c r="J272" s="4"/>
      <c r="K272" s="4"/>
      <c r="L272" s="4"/>
      <c r="M272" s="7"/>
      <c r="N272" s="7"/>
      <c r="O272" s="4"/>
      <c r="P272" s="4"/>
      <c r="Q272" s="4"/>
      <c r="R272" s="4"/>
      <c r="S272" s="16">
        <v>1.6010285753383813E-2</v>
      </c>
    </row>
    <row r="273" spans="4:19" x14ac:dyDescent="0.25">
      <c r="D273" s="38">
        <v>0.69687222094672996</v>
      </c>
      <c r="E273" s="4"/>
      <c r="F273" s="4"/>
      <c r="G273" s="4"/>
      <c r="H273" s="4"/>
      <c r="I273" s="4"/>
      <c r="J273" s="4"/>
      <c r="K273" s="4"/>
      <c r="L273" s="4"/>
      <c r="M273" s="7"/>
      <c r="N273" s="7"/>
      <c r="O273" s="4"/>
      <c r="P273" s="4"/>
      <c r="Q273" s="4"/>
      <c r="R273" s="4"/>
      <c r="S273" s="16">
        <v>0.27800885304283751</v>
      </c>
    </row>
    <row r="274" spans="4:19" x14ac:dyDescent="0.25">
      <c r="D274" s="38">
        <v>0.55393841458324999</v>
      </c>
      <c r="E274" s="4"/>
      <c r="F274" s="4"/>
      <c r="G274" s="4"/>
      <c r="H274" s="4"/>
      <c r="I274" s="4"/>
      <c r="J274" s="4"/>
      <c r="K274" s="4"/>
      <c r="L274" s="4"/>
      <c r="M274" s="7"/>
      <c r="N274" s="7"/>
      <c r="O274" s="4"/>
      <c r="P274" s="4"/>
      <c r="Q274" s="4"/>
      <c r="R274" s="4"/>
      <c r="S274" s="16">
        <v>0.94306932410116517</v>
      </c>
    </row>
    <row r="275" spans="4:19" x14ac:dyDescent="0.25">
      <c r="D275" s="38">
        <v>0.57079373304997216</v>
      </c>
      <c r="E275" s="4"/>
      <c r="F275" s="4"/>
      <c r="G275" s="4"/>
      <c r="H275" s="4"/>
      <c r="I275" s="4"/>
      <c r="J275" s="4"/>
      <c r="K275" s="4"/>
      <c r="L275" s="4"/>
      <c r="M275" s="7"/>
      <c r="N275" s="7"/>
      <c r="O275" s="4"/>
      <c r="P275" s="4"/>
      <c r="Q275" s="4"/>
      <c r="R275" s="4"/>
      <c r="S275" s="16">
        <v>0.26417029432143879</v>
      </c>
    </row>
    <row r="276" spans="4:19" x14ac:dyDescent="0.25">
      <c r="D276" s="38">
        <v>0.71287830778751338</v>
      </c>
      <c r="E276" s="4"/>
      <c r="F276" s="4"/>
      <c r="G276" s="4"/>
      <c r="H276" s="4"/>
      <c r="I276" s="4"/>
      <c r="J276" s="4"/>
      <c r="K276" s="4"/>
      <c r="L276" s="4"/>
      <c r="M276" s="7"/>
      <c r="N276" s="7"/>
      <c r="O276" s="4"/>
      <c r="P276" s="4"/>
      <c r="Q276" s="4"/>
      <c r="R276" s="4"/>
      <c r="S276" s="16">
        <v>0.76583247264263488</v>
      </c>
    </row>
    <row r="277" spans="4:19" x14ac:dyDescent="0.25">
      <c r="D277" s="38">
        <v>0.95827338398558937</v>
      </c>
      <c r="E277" s="4"/>
      <c r="F277" s="4"/>
      <c r="G277" s="4"/>
      <c r="H277" s="4"/>
      <c r="I277" s="4"/>
      <c r="J277" s="4"/>
      <c r="K277" s="4"/>
      <c r="L277" s="4"/>
      <c r="M277" s="7"/>
      <c r="N277" s="7"/>
      <c r="O277" s="4"/>
      <c r="P277" s="4"/>
      <c r="Q277" s="4"/>
      <c r="R277" s="4"/>
      <c r="S277" s="16">
        <v>0.37508112074209266</v>
      </c>
    </row>
    <row r="278" spans="4:19" x14ac:dyDescent="0.25">
      <c r="D278" s="38">
        <v>0.25546190343566089</v>
      </c>
      <c r="E278" s="4"/>
      <c r="F278" s="4"/>
      <c r="G278" s="4"/>
      <c r="H278" s="4"/>
      <c r="I278" s="4"/>
      <c r="J278" s="4"/>
      <c r="K278" s="4"/>
      <c r="L278" s="4"/>
      <c r="M278" s="7"/>
      <c r="N278" s="7"/>
      <c r="O278" s="4"/>
      <c r="P278" s="4"/>
      <c r="Q278" s="4"/>
      <c r="R278" s="4"/>
      <c r="S278" s="16">
        <v>0.49555551483595917</v>
      </c>
    </row>
    <row r="279" spans="4:19" x14ac:dyDescent="0.25">
      <c r="D279" s="38">
        <v>0.98780631954104781</v>
      </c>
      <c r="E279" s="4"/>
      <c r="F279" s="4"/>
      <c r="G279" s="4"/>
      <c r="H279" s="4"/>
      <c r="I279" s="4"/>
      <c r="J279" s="4"/>
      <c r="K279" s="4"/>
      <c r="L279" s="4"/>
      <c r="M279" s="7"/>
      <c r="N279" s="7"/>
      <c r="O279" s="4"/>
      <c r="P279" s="4"/>
      <c r="Q279" s="4"/>
      <c r="R279" s="4"/>
      <c r="S279" s="16">
        <v>0.87494640732996443</v>
      </c>
    </row>
    <row r="280" spans="4:19" x14ac:dyDescent="0.25">
      <c r="D280" s="38">
        <v>0.40147177223869712</v>
      </c>
      <c r="E280" s="4"/>
      <c r="F280" s="4"/>
      <c r="G280" s="4"/>
      <c r="H280" s="4"/>
      <c r="I280" s="4"/>
      <c r="J280" s="4"/>
      <c r="K280" s="4"/>
      <c r="L280" s="4"/>
      <c r="M280" s="7"/>
      <c r="N280" s="7"/>
      <c r="O280" s="4"/>
      <c r="P280" s="4"/>
      <c r="Q280" s="4"/>
      <c r="R280" s="4"/>
      <c r="S280" s="16">
        <v>0.10771090613670564</v>
      </c>
    </row>
    <row r="281" spans="4:19" x14ac:dyDescent="0.25">
      <c r="D281" s="38">
        <v>2.5930817040117127E-2</v>
      </c>
      <c r="E281" s="4"/>
      <c r="F281" s="4"/>
      <c r="G281" s="4"/>
      <c r="H281" s="4"/>
      <c r="I281" s="4"/>
      <c r="J281" s="4"/>
      <c r="K281" s="4"/>
      <c r="L281" s="4"/>
      <c r="M281" s="7"/>
      <c r="N281" s="7"/>
      <c r="O281" s="4"/>
      <c r="P281" s="4"/>
      <c r="Q281" s="4"/>
      <c r="R281" s="4"/>
      <c r="S281" s="16">
        <v>0.55697164393268317</v>
      </c>
    </row>
    <row r="282" spans="4:19" x14ac:dyDescent="0.25">
      <c r="D282" s="38">
        <v>0.57201213062031231</v>
      </c>
      <c r="E282" s="4"/>
      <c r="F282" s="4"/>
      <c r="G282" s="4"/>
      <c r="H282" s="4"/>
      <c r="I282" s="4"/>
      <c r="J282" s="4"/>
      <c r="K282" s="4"/>
      <c r="L282" s="4"/>
      <c r="M282" s="7"/>
      <c r="N282" s="7"/>
      <c r="O282" s="4"/>
      <c r="P282" s="4"/>
      <c r="Q282" s="4"/>
      <c r="R282" s="4"/>
      <c r="S282" s="16">
        <v>0.56580189833025774</v>
      </c>
    </row>
    <row r="283" spans="4:19" x14ac:dyDescent="0.25">
      <c r="D283" s="38">
        <v>0.3625102151816747</v>
      </c>
      <c r="E283" s="4"/>
      <c r="F283" s="4"/>
      <c r="G283" s="4"/>
      <c r="H283" s="4"/>
      <c r="I283" s="4"/>
      <c r="J283" s="4"/>
      <c r="K283" s="4"/>
      <c r="L283" s="4"/>
      <c r="M283" s="7"/>
      <c r="N283" s="7"/>
      <c r="O283" s="4"/>
      <c r="P283" s="4"/>
      <c r="Q283" s="4"/>
      <c r="R283" s="4"/>
      <c r="S283" s="16">
        <v>0.14627438420361838</v>
      </c>
    </row>
    <row r="284" spans="4:19" x14ac:dyDescent="0.25">
      <c r="D284" s="38">
        <v>0.78691277416164662</v>
      </c>
      <c r="E284" s="4"/>
      <c r="F284" s="4"/>
      <c r="G284" s="4"/>
      <c r="H284" s="4"/>
      <c r="I284" s="4"/>
      <c r="J284" s="4"/>
      <c r="K284" s="4"/>
      <c r="L284" s="4"/>
      <c r="M284" s="7"/>
      <c r="N284" s="7"/>
      <c r="O284" s="4"/>
      <c r="P284" s="4"/>
      <c r="Q284" s="4"/>
      <c r="R284" s="4"/>
      <c r="S284" s="16">
        <v>2.3356083828387497E-2</v>
      </c>
    </row>
    <row r="285" spans="4:19" x14ac:dyDescent="0.25">
      <c r="D285" s="38">
        <v>0.84879895560274099</v>
      </c>
      <c r="E285" s="4"/>
      <c r="F285" s="4"/>
      <c r="G285" s="4"/>
      <c r="H285" s="4"/>
      <c r="I285" s="4"/>
      <c r="J285" s="4"/>
      <c r="K285" s="4"/>
      <c r="L285" s="4"/>
      <c r="M285" s="7"/>
      <c r="N285" s="7"/>
      <c r="O285" s="4"/>
      <c r="P285" s="4"/>
      <c r="Q285" s="4"/>
      <c r="R285" s="4"/>
      <c r="S285" s="16">
        <v>0.48927479961720433</v>
      </c>
    </row>
    <row r="286" spans="4:19" x14ac:dyDescent="0.25">
      <c r="D286" s="38">
        <v>0.79207854828097801</v>
      </c>
      <c r="E286" s="4"/>
      <c r="F286" s="4"/>
      <c r="G286" s="4"/>
      <c r="H286" s="4"/>
      <c r="I286" s="4"/>
      <c r="J286" s="4"/>
      <c r="K286" s="4"/>
      <c r="L286" s="4"/>
      <c r="M286" s="7"/>
      <c r="N286" s="7"/>
      <c r="O286" s="4"/>
      <c r="P286" s="4"/>
      <c r="Q286" s="4"/>
      <c r="R286" s="4"/>
      <c r="S286" s="16">
        <v>5.8864261933699202E-2</v>
      </c>
    </row>
    <row r="287" spans="4:19" x14ac:dyDescent="0.25">
      <c r="D287" s="38">
        <v>0.65113051929555021</v>
      </c>
      <c r="E287" s="4"/>
      <c r="F287" s="4"/>
      <c r="G287" s="4"/>
      <c r="H287" s="4"/>
      <c r="I287" s="4"/>
      <c r="J287" s="4"/>
      <c r="K287" s="4"/>
      <c r="L287" s="4"/>
      <c r="M287" s="7"/>
      <c r="N287" s="7"/>
      <c r="O287" s="4"/>
      <c r="P287" s="4"/>
      <c r="Q287" s="4"/>
      <c r="R287" s="4"/>
      <c r="S287" s="16">
        <v>0.55270088228438841</v>
      </c>
    </row>
    <row r="288" spans="4:19" x14ac:dyDescent="0.25">
      <c r="D288" s="38">
        <v>0.71449258216884803</v>
      </c>
      <c r="E288" s="4"/>
      <c r="F288" s="4"/>
      <c r="G288" s="4"/>
      <c r="H288" s="4"/>
      <c r="I288" s="4"/>
      <c r="J288" s="4"/>
      <c r="K288" s="4"/>
      <c r="L288" s="4"/>
      <c r="M288" s="7"/>
      <c r="N288" s="7"/>
      <c r="O288" s="4"/>
      <c r="P288" s="4"/>
      <c r="Q288" s="4"/>
      <c r="R288" s="4"/>
      <c r="S288" s="16">
        <v>0.84006280499007591</v>
      </c>
    </row>
    <row r="289" spans="4:19" x14ac:dyDescent="0.25">
      <c r="D289" s="38">
        <v>0.21784202160133315</v>
      </c>
      <c r="E289" s="4"/>
      <c r="F289" s="4"/>
      <c r="G289" s="4"/>
      <c r="H289" s="4"/>
      <c r="I289" s="4"/>
      <c r="J289" s="4"/>
      <c r="K289" s="4"/>
      <c r="L289" s="4"/>
      <c r="M289" s="7"/>
      <c r="N289" s="7"/>
      <c r="O289" s="4"/>
      <c r="P289" s="4"/>
      <c r="Q289" s="4"/>
      <c r="R289" s="4"/>
      <c r="S289" s="16">
        <v>0.69208352047936783</v>
      </c>
    </row>
    <row r="290" spans="4:19" x14ac:dyDescent="0.25">
      <c r="D290" s="38">
        <v>0.16024817262669022</v>
      </c>
      <c r="E290" s="4"/>
      <c r="F290" s="4"/>
      <c r="G290" s="4"/>
      <c r="H290" s="4"/>
      <c r="I290" s="4"/>
      <c r="J290" s="4"/>
      <c r="K290" s="4"/>
      <c r="L290" s="4"/>
      <c r="M290" s="7"/>
      <c r="N290" s="7"/>
      <c r="O290" s="4"/>
      <c r="P290" s="4"/>
      <c r="Q290" s="4"/>
      <c r="R290" s="4"/>
      <c r="S290" s="16">
        <v>0.5666552817244368</v>
      </c>
    </row>
    <row r="291" spans="4:19" x14ac:dyDescent="0.25">
      <c r="D291" s="38">
        <v>0.66637696739158525</v>
      </c>
      <c r="E291" s="4"/>
      <c r="F291" s="4"/>
      <c r="G291" s="4"/>
      <c r="H291" s="4"/>
      <c r="I291" s="4"/>
      <c r="J291" s="4"/>
      <c r="K291" s="4"/>
      <c r="L291" s="4"/>
      <c r="M291" s="7"/>
      <c r="N291" s="7"/>
      <c r="O291" s="4"/>
      <c r="P291" s="4"/>
      <c r="Q291" s="4"/>
      <c r="R291" s="4"/>
      <c r="S291" s="16">
        <v>0.53238620598765685</v>
      </c>
    </row>
    <row r="292" spans="4:19" x14ac:dyDescent="0.25">
      <c r="D292" s="38">
        <v>0.80853566371165153</v>
      </c>
      <c r="E292" s="4"/>
      <c r="F292" s="4"/>
      <c r="G292" s="4"/>
      <c r="H292" s="4"/>
      <c r="I292" s="4"/>
      <c r="J292" s="4"/>
      <c r="K292" s="4"/>
      <c r="L292" s="4"/>
      <c r="M292" s="7"/>
      <c r="N292" s="7"/>
      <c r="O292" s="4"/>
      <c r="P292" s="4"/>
      <c r="Q292" s="4"/>
      <c r="R292" s="4"/>
      <c r="S292" s="16">
        <v>0.62401483281322812</v>
      </c>
    </row>
    <row r="293" spans="4:19" x14ac:dyDescent="0.25">
      <c r="D293" s="38">
        <v>1.5273233090141058E-2</v>
      </c>
      <c r="E293" s="4"/>
      <c r="F293" s="4"/>
      <c r="G293" s="4"/>
      <c r="H293" s="4"/>
      <c r="I293" s="4"/>
      <c r="J293" s="4"/>
      <c r="K293" s="4"/>
      <c r="L293" s="4"/>
      <c r="M293" s="7"/>
      <c r="N293" s="7"/>
      <c r="O293" s="4"/>
      <c r="P293" s="4"/>
      <c r="Q293" s="4"/>
      <c r="R293" s="4"/>
      <c r="S293" s="16">
        <v>0.92306660914015504</v>
      </c>
    </row>
    <row r="294" spans="4:19" x14ac:dyDescent="0.25">
      <c r="D294" s="38">
        <v>0.78700392640962202</v>
      </c>
      <c r="E294" s="4"/>
      <c r="F294" s="4"/>
      <c r="G294" s="4"/>
      <c r="H294" s="4"/>
      <c r="I294" s="4"/>
      <c r="J294" s="4"/>
      <c r="K294" s="4"/>
      <c r="L294" s="4"/>
      <c r="M294" s="7"/>
      <c r="N294" s="7"/>
      <c r="O294" s="4"/>
      <c r="P294" s="4"/>
      <c r="Q294" s="4"/>
      <c r="R294" s="4"/>
      <c r="S294" s="16">
        <v>0.73201372973001833</v>
      </c>
    </row>
    <row r="295" spans="4:19" x14ac:dyDescent="0.25">
      <c r="D295" s="38">
        <v>0.35289748950149746</v>
      </c>
      <c r="E295" s="4"/>
      <c r="F295" s="4"/>
      <c r="G295" s="4"/>
      <c r="H295" s="4"/>
      <c r="I295" s="4"/>
      <c r="J295" s="4"/>
      <c r="K295" s="4"/>
      <c r="L295" s="4"/>
      <c r="M295" s="7"/>
      <c r="N295" s="7"/>
      <c r="O295" s="4"/>
      <c r="P295" s="4"/>
      <c r="Q295" s="4"/>
      <c r="R295" s="4"/>
      <c r="S295" s="16">
        <v>0.43742477869086027</v>
      </c>
    </row>
    <row r="296" spans="4:19" x14ac:dyDescent="0.25">
      <c r="D296" s="38">
        <v>0.93505336617785806</v>
      </c>
      <c r="E296" s="4"/>
      <c r="F296" s="4"/>
      <c r="G296" s="4"/>
      <c r="H296" s="4"/>
      <c r="I296" s="4"/>
      <c r="J296" s="4"/>
      <c r="K296" s="4"/>
      <c r="L296" s="4"/>
      <c r="M296" s="7"/>
      <c r="N296" s="7"/>
      <c r="O296" s="4"/>
      <c r="P296" s="4"/>
      <c r="Q296" s="4"/>
      <c r="R296" s="4"/>
      <c r="S296" s="16">
        <v>0.41267895408654787</v>
      </c>
    </row>
    <row r="297" spans="4:19" x14ac:dyDescent="0.25">
      <c r="D297" s="38">
        <v>0.16543808347588485</v>
      </c>
      <c r="E297" s="4"/>
      <c r="F297" s="4"/>
      <c r="G297" s="4"/>
      <c r="H297" s="4"/>
      <c r="I297" s="4"/>
      <c r="J297" s="4"/>
      <c r="K297" s="4"/>
      <c r="L297" s="4"/>
      <c r="M297" s="7"/>
      <c r="N297" s="7"/>
      <c r="O297" s="4"/>
      <c r="P297" s="4"/>
      <c r="Q297" s="4"/>
      <c r="R297" s="4"/>
      <c r="S297" s="16">
        <v>0.62962739141119428</v>
      </c>
    </row>
    <row r="298" spans="4:19" x14ac:dyDescent="0.25">
      <c r="D298" s="38">
        <v>0.72001323598199485</v>
      </c>
      <c r="E298" s="4"/>
      <c r="F298" s="4"/>
      <c r="G298" s="4"/>
      <c r="H298" s="4"/>
      <c r="I298" s="4"/>
      <c r="J298" s="4"/>
      <c r="K298" s="4"/>
      <c r="L298" s="4"/>
      <c r="M298" s="7"/>
      <c r="N298" s="7"/>
      <c r="O298" s="4"/>
      <c r="P298" s="4"/>
      <c r="Q298" s="4"/>
      <c r="R298" s="4"/>
      <c r="S298" s="16">
        <v>3.8737994738025749E-2</v>
      </c>
    </row>
    <row r="299" spans="4:19" x14ac:dyDescent="0.25">
      <c r="D299" s="38">
        <v>7.228972995679428E-2</v>
      </c>
      <c r="E299" s="4"/>
      <c r="F299" s="4"/>
      <c r="G299" s="4"/>
      <c r="H299" s="4"/>
      <c r="I299" s="4"/>
      <c r="J299" s="4"/>
      <c r="K299" s="4"/>
      <c r="L299" s="4"/>
      <c r="M299" s="7"/>
      <c r="N299" s="7"/>
      <c r="O299" s="4"/>
      <c r="P299" s="4"/>
      <c r="Q299" s="4"/>
      <c r="R299" s="4"/>
      <c r="S299" s="16">
        <v>0.48009879732744443</v>
      </c>
    </row>
    <row r="300" spans="4:19" x14ac:dyDescent="0.25">
      <c r="D300" s="38">
        <v>0.39643746471922892</v>
      </c>
      <c r="E300" s="4"/>
      <c r="F300" s="4"/>
      <c r="G300" s="4"/>
      <c r="H300" s="4"/>
      <c r="I300" s="4"/>
      <c r="J300" s="4"/>
      <c r="K300" s="4"/>
      <c r="L300" s="4"/>
      <c r="M300" s="7"/>
      <c r="N300" s="7"/>
      <c r="O300" s="4"/>
      <c r="P300" s="4"/>
      <c r="Q300" s="4"/>
      <c r="R300" s="4"/>
      <c r="S300" s="16">
        <v>0.58125501224926357</v>
      </c>
    </row>
    <row r="301" spans="4:19" x14ac:dyDescent="0.25">
      <c r="D301" s="38">
        <v>6.2060963061147945E-3</v>
      </c>
      <c r="E301" s="4"/>
      <c r="F301" s="4"/>
      <c r="G301" s="4"/>
      <c r="H301" s="4"/>
      <c r="I301" s="4"/>
      <c r="J301" s="4"/>
      <c r="K301" s="4"/>
      <c r="L301" s="4"/>
      <c r="M301" s="7"/>
      <c r="N301" s="7"/>
      <c r="O301" s="4"/>
      <c r="P301" s="4"/>
      <c r="Q301" s="4"/>
      <c r="R301" s="4"/>
      <c r="S301" s="16">
        <v>2.9869851675669801E-2</v>
      </c>
    </row>
    <row r="302" spans="4:19" x14ac:dyDescent="0.25">
      <c r="D302" s="38">
        <v>0.13964480343298047</v>
      </c>
      <c r="E302" s="4"/>
      <c r="F302" s="4"/>
      <c r="G302" s="4"/>
      <c r="H302" s="4"/>
      <c r="I302" s="4"/>
      <c r="J302" s="4"/>
      <c r="K302" s="4"/>
      <c r="L302" s="4"/>
      <c r="M302" s="7"/>
      <c r="N302" s="7"/>
      <c r="O302" s="4"/>
      <c r="P302" s="4"/>
      <c r="Q302" s="4"/>
      <c r="R302" s="4"/>
      <c r="S302" s="16">
        <v>0.7323878244765869</v>
      </c>
    </row>
    <row r="303" spans="4:19" x14ac:dyDescent="0.25">
      <c r="D303" s="38">
        <v>2.2335809408294272E-2</v>
      </c>
      <c r="E303" s="4"/>
      <c r="F303" s="4"/>
      <c r="G303" s="4"/>
      <c r="H303" s="4"/>
      <c r="I303" s="4"/>
      <c r="J303" s="4"/>
      <c r="K303" s="4"/>
      <c r="L303" s="4"/>
      <c r="M303" s="7"/>
      <c r="N303" s="7"/>
      <c r="O303" s="4"/>
      <c r="P303" s="4"/>
      <c r="Q303" s="4"/>
      <c r="R303" s="4"/>
      <c r="S303" s="16">
        <v>0.18280761329075734</v>
      </c>
    </row>
    <row r="304" spans="4:19" x14ac:dyDescent="0.25">
      <c r="D304" s="38">
        <v>0.27733701145922252</v>
      </c>
      <c r="E304" s="4"/>
      <c r="F304" s="4"/>
      <c r="G304" s="4"/>
      <c r="H304" s="4"/>
      <c r="I304" s="4"/>
      <c r="J304" s="4"/>
      <c r="K304" s="4"/>
      <c r="L304" s="4"/>
      <c r="M304" s="7"/>
      <c r="N304" s="7"/>
      <c r="O304" s="4"/>
      <c r="P304" s="4"/>
      <c r="Q304" s="4"/>
      <c r="R304" s="4"/>
      <c r="S304" s="16">
        <v>0.41697268411651256</v>
      </c>
    </row>
    <row r="305" spans="4:19" x14ac:dyDescent="0.25">
      <c r="D305" s="38">
        <v>0.28748880995547998</v>
      </c>
      <c r="E305" s="4"/>
      <c r="F305" s="4"/>
      <c r="G305" s="4"/>
      <c r="H305" s="4"/>
      <c r="I305" s="4"/>
      <c r="J305" s="4"/>
      <c r="K305" s="4"/>
      <c r="L305" s="4"/>
      <c r="M305" s="7"/>
      <c r="N305" s="7"/>
      <c r="O305" s="4"/>
      <c r="P305" s="4"/>
      <c r="Q305" s="4"/>
      <c r="R305" s="4"/>
      <c r="S305" s="16">
        <v>7.7022565214386995E-2</v>
      </c>
    </row>
    <row r="306" spans="4:19" x14ac:dyDescent="0.25">
      <c r="D306" s="38">
        <v>0.17606488249854069</v>
      </c>
      <c r="E306" s="4"/>
      <c r="F306" s="4"/>
      <c r="G306" s="4"/>
      <c r="H306" s="4"/>
      <c r="I306" s="4"/>
      <c r="J306" s="4"/>
      <c r="K306" s="4"/>
      <c r="L306" s="4"/>
      <c r="M306" s="7"/>
      <c r="N306" s="7"/>
      <c r="O306" s="4"/>
      <c r="P306" s="4"/>
      <c r="Q306" s="4"/>
      <c r="R306" s="4"/>
      <c r="S306" s="16">
        <v>8.5183824991995394E-2</v>
      </c>
    </row>
    <row r="307" spans="4:19" x14ac:dyDescent="0.25">
      <c r="D307" s="38">
        <v>0.15364772673788085</v>
      </c>
      <c r="E307" s="4"/>
      <c r="F307" s="4"/>
      <c r="G307" s="4"/>
      <c r="H307" s="4"/>
      <c r="I307" s="4"/>
      <c r="J307" s="4"/>
      <c r="K307" s="4"/>
      <c r="L307" s="4"/>
      <c r="M307" s="7"/>
      <c r="N307" s="7"/>
      <c r="O307" s="4"/>
      <c r="P307" s="4"/>
      <c r="Q307" s="4"/>
      <c r="R307" s="4"/>
      <c r="S307" s="16">
        <v>0.91829370050561698</v>
      </c>
    </row>
    <row r="308" spans="4:19" x14ac:dyDescent="0.25">
      <c r="D308" s="38">
        <v>0.53738895227737438</v>
      </c>
      <c r="E308" s="4"/>
      <c r="F308" s="4"/>
      <c r="G308" s="4"/>
      <c r="H308" s="4"/>
      <c r="I308" s="4"/>
      <c r="J308" s="4"/>
      <c r="K308" s="4"/>
      <c r="L308" s="4"/>
      <c r="M308" s="7"/>
      <c r="N308" s="7"/>
      <c r="O308" s="4"/>
      <c r="P308" s="4"/>
      <c r="Q308" s="4"/>
      <c r="R308" s="4"/>
      <c r="S308" s="16">
        <v>0.2312999910015785</v>
      </c>
    </row>
    <row r="309" spans="4:19" x14ac:dyDescent="0.25">
      <c r="D309" s="38">
        <v>0.31509057624693015</v>
      </c>
      <c r="E309" s="4"/>
      <c r="F309" s="4"/>
      <c r="G309" s="4"/>
      <c r="H309" s="4"/>
      <c r="I309" s="4"/>
      <c r="J309" s="4"/>
      <c r="K309" s="4"/>
      <c r="L309" s="4"/>
      <c r="M309" s="7"/>
      <c r="N309" s="7"/>
      <c r="O309" s="4"/>
      <c r="P309" s="4"/>
      <c r="Q309" s="4"/>
      <c r="R309" s="4"/>
      <c r="S309" s="16">
        <v>0.84547954435875172</v>
      </c>
    </row>
    <row r="310" spans="4:19" x14ac:dyDescent="0.25">
      <c r="D310" s="38">
        <v>0.36046107098039382</v>
      </c>
      <c r="E310" s="4"/>
      <c r="F310" s="4"/>
      <c r="G310" s="4"/>
      <c r="H310" s="4"/>
      <c r="I310" s="4"/>
      <c r="J310" s="4"/>
      <c r="K310" s="4"/>
      <c r="L310" s="4"/>
      <c r="M310" s="7"/>
      <c r="N310" s="7"/>
      <c r="O310" s="4"/>
      <c r="P310" s="4"/>
      <c r="Q310" s="4"/>
      <c r="R310" s="4"/>
      <c r="S310" s="16">
        <v>0.81870568668670163</v>
      </c>
    </row>
    <row r="311" spans="4:19" x14ac:dyDescent="0.25">
      <c r="D311" s="38">
        <v>0.59745925532985011</v>
      </c>
      <c r="E311" s="4"/>
      <c r="F311" s="4"/>
      <c r="G311" s="4"/>
      <c r="H311" s="4"/>
      <c r="I311" s="4"/>
      <c r="J311" s="4"/>
      <c r="K311" s="4"/>
      <c r="L311" s="4"/>
      <c r="M311" s="7"/>
      <c r="N311" s="7"/>
      <c r="O311" s="4"/>
      <c r="P311" s="4"/>
      <c r="Q311" s="4"/>
      <c r="R311" s="4"/>
      <c r="S311" s="16">
        <v>7.1693095887761848E-2</v>
      </c>
    </row>
    <row r="312" spans="4:19" x14ac:dyDescent="0.25">
      <c r="D312" s="38">
        <v>0.52049160855197818</v>
      </c>
      <c r="E312" s="4"/>
      <c r="F312" s="4"/>
      <c r="G312" s="4"/>
      <c r="H312" s="4"/>
      <c r="I312" s="4"/>
      <c r="J312" s="4"/>
      <c r="K312" s="4"/>
      <c r="L312" s="4"/>
      <c r="M312" s="7"/>
      <c r="N312" s="7"/>
      <c r="O312" s="4"/>
      <c r="P312" s="4"/>
      <c r="Q312" s="4"/>
      <c r="R312" s="4"/>
      <c r="S312" s="16">
        <v>0.21530032845790081</v>
      </c>
    </row>
    <row r="313" spans="4:19" x14ac:dyDescent="0.25">
      <c r="D313" s="38">
        <v>0.18275336268403397</v>
      </c>
      <c r="E313" s="4"/>
      <c r="F313" s="4"/>
      <c r="G313" s="4"/>
      <c r="H313" s="4"/>
      <c r="I313" s="4"/>
      <c r="J313" s="4"/>
      <c r="K313" s="4"/>
      <c r="L313" s="4"/>
      <c r="M313" s="7"/>
      <c r="N313" s="7"/>
      <c r="O313" s="4"/>
      <c r="P313" s="4"/>
      <c r="Q313" s="4"/>
      <c r="R313" s="4"/>
      <c r="S313" s="16">
        <v>0.51790751534973312</v>
      </c>
    </row>
    <row r="314" spans="4:19" x14ac:dyDescent="0.25">
      <c r="D314" s="38">
        <v>0.9036871674809277</v>
      </c>
      <c r="E314" s="4"/>
      <c r="F314" s="4"/>
      <c r="G314" s="4"/>
      <c r="H314" s="4"/>
      <c r="I314" s="4"/>
      <c r="J314" s="4"/>
      <c r="K314" s="4"/>
      <c r="L314" s="4"/>
      <c r="M314" s="7"/>
      <c r="N314" s="7"/>
      <c r="O314" s="4"/>
      <c r="P314" s="4"/>
      <c r="Q314" s="4"/>
      <c r="R314" s="4"/>
      <c r="S314" s="16">
        <v>0.45819188107578457</v>
      </c>
    </row>
    <row r="315" spans="4:19" x14ac:dyDescent="0.25">
      <c r="D315" s="38">
        <v>0.81801202917324656</v>
      </c>
      <c r="E315" s="4"/>
      <c r="F315" s="4"/>
      <c r="G315" s="4"/>
      <c r="H315" s="4"/>
      <c r="I315" s="4"/>
      <c r="J315" s="4"/>
      <c r="K315" s="4"/>
      <c r="L315" s="4"/>
      <c r="M315" s="7"/>
      <c r="N315" s="7"/>
      <c r="O315" s="4"/>
      <c r="P315" s="4"/>
      <c r="Q315" s="4"/>
      <c r="R315" s="4"/>
      <c r="S315" s="16">
        <v>0.10949134985215092</v>
      </c>
    </row>
    <row r="316" spans="4:19" x14ac:dyDescent="0.25">
      <c r="D316" s="38">
        <v>0.72353856655001048</v>
      </c>
      <c r="E316" s="4"/>
      <c r="F316" s="4"/>
      <c r="G316" s="4"/>
      <c r="H316" s="4"/>
      <c r="I316" s="4"/>
      <c r="J316" s="4"/>
      <c r="K316" s="4"/>
      <c r="L316" s="4"/>
      <c r="M316" s="7"/>
      <c r="N316" s="7"/>
      <c r="O316" s="4"/>
      <c r="P316" s="4"/>
      <c r="Q316" s="4"/>
      <c r="R316" s="4"/>
      <c r="S316" s="16">
        <v>0.93633332349621634</v>
      </c>
    </row>
    <row r="317" spans="4:19" x14ac:dyDescent="0.25">
      <c r="D317" s="38">
        <v>0.63381074079853772</v>
      </c>
      <c r="E317" s="4"/>
      <c r="F317" s="4"/>
      <c r="G317" s="4"/>
      <c r="H317" s="4"/>
      <c r="I317" s="4"/>
      <c r="J317" s="4"/>
      <c r="K317" s="4"/>
      <c r="L317" s="4"/>
      <c r="M317" s="7"/>
      <c r="N317" s="7"/>
      <c r="O317" s="4"/>
      <c r="P317" s="4"/>
      <c r="Q317" s="4"/>
      <c r="R317" s="4"/>
      <c r="S317" s="16">
        <v>0.47008060522624673</v>
      </c>
    </row>
    <row r="318" spans="4:19" x14ac:dyDescent="0.25">
      <c r="D318" s="38">
        <v>0.85003834979543569</v>
      </c>
      <c r="E318" s="4"/>
      <c r="F318" s="4"/>
      <c r="G318" s="4"/>
      <c r="H318" s="4"/>
      <c r="I318" s="4"/>
      <c r="J318" s="4"/>
      <c r="K318" s="4"/>
      <c r="L318" s="4"/>
      <c r="M318" s="7"/>
      <c r="N318" s="7"/>
      <c r="O318" s="4"/>
      <c r="P318" s="4"/>
      <c r="Q318" s="4"/>
      <c r="R318" s="4"/>
      <c r="S318" s="16">
        <v>0.47570479129024579</v>
      </c>
    </row>
    <row r="319" spans="4:19" x14ac:dyDescent="0.25">
      <c r="D319" s="38">
        <v>0.68635178218636517</v>
      </c>
      <c r="E319" s="4"/>
      <c r="F319" s="4"/>
      <c r="G319" s="4"/>
      <c r="H319" s="4"/>
      <c r="I319" s="4"/>
      <c r="J319" s="4"/>
      <c r="K319" s="4"/>
      <c r="L319" s="4"/>
      <c r="M319" s="7"/>
      <c r="N319" s="7"/>
      <c r="O319" s="4"/>
      <c r="P319" s="4"/>
      <c r="Q319" s="4"/>
      <c r="R319" s="4"/>
      <c r="S319" s="16">
        <v>0.96541396619148956</v>
      </c>
    </row>
    <row r="320" spans="4:19" x14ac:dyDescent="0.25">
      <c r="D320" s="38">
        <v>0.89532833683880597</v>
      </c>
      <c r="E320" s="4"/>
      <c r="F320" s="4"/>
      <c r="G320" s="4"/>
      <c r="H320" s="4"/>
      <c r="I320" s="4"/>
      <c r="J320" s="4"/>
      <c r="K320" s="4"/>
      <c r="L320" s="4"/>
      <c r="M320" s="7"/>
      <c r="N320" s="7"/>
      <c r="O320" s="4"/>
      <c r="P320" s="4"/>
      <c r="Q320" s="4"/>
      <c r="R320" s="4"/>
      <c r="S320" s="16">
        <v>0.28749344560710866</v>
      </c>
    </row>
    <row r="321" spans="4:19" x14ac:dyDescent="0.25">
      <c r="D321" s="38">
        <v>0.49497532758701757</v>
      </c>
      <c r="E321" s="4"/>
      <c r="F321" s="4"/>
      <c r="G321" s="4"/>
      <c r="H321" s="4"/>
      <c r="I321" s="4"/>
      <c r="J321" s="4"/>
      <c r="K321" s="4"/>
      <c r="L321" s="4"/>
      <c r="M321" s="7"/>
      <c r="N321" s="7"/>
      <c r="O321" s="4"/>
      <c r="P321" s="4"/>
      <c r="Q321" s="4"/>
      <c r="R321" s="4"/>
      <c r="S321" s="16">
        <v>0.93824535977708468</v>
      </c>
    </row>
    <row r="322" spans="4:19" x14ac:dyDescent="0.25">
      <c r="D322" s="38">
        <v>0.35711532245625965</v>
      </c>
      <c r="E322" s="4"/>
      <c r="F322" s="4"/>
      <c r="G322" s="4"/>
      <c r="H322" s="4"/>
      <c r="I322" s="4"/>
      <c r="J322" s="4"/>
      <c r="K322" s="4"/>
      <c r="L322" s="4"/>
      <c r="M322" s="7"/>
      <c r="N322" s="7"/>
      <c r="O322" s="4"/>
      <c r="P322" s="4"/>
      <c r="Q322" s="4"/>
      <c r="R322" s="4"/>
      <c r="S322" s="16">
        <v>3.0869017025576317E-2</v>
      </c>
    </row>
    <row r="323" spans="4:19" x14ac:dyDescent="0.25">
      <c r="D323" s="38">
        <v>0.7942811586002545</v>
      </c>
      <c r="E323" s="4"/>
      <c r="F323" s="4"/>
      <c r="G323" s="4"/>
      <c r="H323" s="4"/>
      <c r="I323" s="4"/>
      <c r="J323" s="4"/>
      <c r="K323" s="4"/>
      <c r="L323" s="4"/>
      <c r="M323" s="7"/>
      <c r="N323" s="7"/>
      <c r="O323" s="4"/>
      <c r="P323" s="4"/>
      <c r="Q323" s="4"/>
      <c r="R323" s="4"/>
      <c r="S323" s="16">
        <v>0.93419951481012764</v>
      </c>
    </row>
    <row r="324" spans="4:19" x14ac:dyDescent="0.25">
      <c r="D324" s="38">
        <v>0.19448794043754536</v>
      </c>
      <c r="E324" s="4"/>
      <c r="F324" s="4"/>
      <c r="G324" s="4"/>
      <c r="H324" s="4"/>
      <c r="I324" s="4"/>
      <c r="J324" s="4"/>
      <c r="K324" s="4"/>
      <c r="L324" s="4"/>
      <c r="M324" s="7"/>
      <c r="N324" s="7"/>
      <c r="O324" s="4"/>
      <c r="P324" s="4"/>
      <c r="Q324" s="4"/>
      <c r="R324" s="4"/>
      <c r="S324" s="16">
        <v>0.5475678136475729</v>
      </c>
    </row>
    <row r="325" spans="4:19" x14ac:dyDescent="0.25">
      <c r="D325" s="38">
        <v>0.36160281383212756</v>
      </c>
      <c r="E325" s="4"/>
      <c r="F325" s="4"/>
      <c r="G325" s="4"/>
      <c r="H325" s="4"/>
      <c r="I325" s="4"/>
      <c r="J325" s="4"/>
      <c r="K325" s="4"/>
      <c r="L325" s="4"/>
      <c r="M325" s="7"/>
      <c r="N325" s="7"/>
      <c r="O325" s="4"/>
      <c r="P325" s="4"/>
      <c r="Q325" s="4"/>
      <c r="R325" s="4"/>
      <c r="S325" s="16">
        <v>0.54341816310571689</v>
      </c>
    </row>
    <row r="326" spans="4:19" x14ac:dyDescent="0.25">
      <c r="D326" s="38">
        <v>0.58872908251775613</v>
      </c>
      <c r="E326" s="4"/>
      <c r="F326" s="4"/>
      <c r="G326" s="4"/>
      <c r="H326" s="4"/>
      <c r="I326" s="4"/>
      <c r="J326" s="4"/>
      <c r="K326" s="4"/>
      <c r="L326" s="4"/>
      <c r="M326" s="7"/>
      <c r="N326" s="7"/>
      <c r="O326" s="4"/>
      <c r="P326" s="4"/>
      <c r="Q326" s="4"/>
      <c r="R326" s="4"/>
      <c r="S326" s="16">
        <v>0.68373054457518401</v>
      </c>
    </row>
    <row r="327" spans="4:19" x14ac:dyDescent="0.25">
      <c r="D327" s="38">
        <v>0.92351478882950666</v>
      </c>
      <c r="E327" s="4"/>
      <c r="F327" s="4"/>
      <c r="G327" s="4"/>
      <c r="H327" s="4"/>
      <c r="I327" s="4"/>
      <c r="J327" s="4"/>
      <c r="K327" s="4"/>
      <c r="L327" s="4"/>
      <c r="M327" s="7"/>
      <c r="N327" s="7"/>
      <c r="O327" s="4"/>
      <c r="P327" s="4"/>
      <c r="Q327" s="4"/>
      <c r="R327" s="4"/>
      <c r="S327" s="16">
        <v>0.52634688722994216</v>
      </c>
    </row>
    <row r="328" spans="4:19" x14ac:dyDescent="0.25">
      <c r="D328" s="38">
        <v>0.74972669251843271</v>
      </c>
      <c r="E328" s="4"/>
      <c r="F328" s="4"/>
      <c r="G328" s="4"/>
      <c r="H328" s="4"/>
      <c r="I328" s="4"/>
      <c r="J328" s="4"/>
      <c r="K328" s="4"/>
      <c r="L328" s="4"/>
      <c r="M328" s="7"/>
      <c r="N328" s="7"/>
      <c r="O328" s="4"/>
      <c r="P328" s="4"/>
      <c r="Q328" s="4"/>
      <c r="R328" s="4"/>
      <c r="S328" s="16">
        <v>0.20622269563114304</v>
      </c>
    </row>
    <row r="329" spans="4:19" x14ac:dyDescent="0.25">
      <c r="D329" s="38">
        <v>0.42562120980882878</v>
      </c>
      <c r="E329" s="4"/>
      <c r="F329" s="4"/>
      <c r="G329" s="4"/>
      <c r="H329" s="4"/>
      <c r="I329" s="4"/>
      <c r="J329" s="4"/>
      <c r="K329" s="4"/>
      <c r="L329" s="4"/>
      <c r="M329" s="7"/>
      <c r="N329" s="7"/>
      <c r="O329" s="4"/>
      <c r="P329" s="4"/>
      <c r="Q329" s="4"/>
      <c r="R329" s="4"/>
      <c r="S329" s="16">
        <v>0.81693003099031025</v>
      </c>
    </row>
    <row r="330" spans="4:19" x14ac:dyDescent="0.25">
      <c r="D330" s="38">
        <v>0.19259894904603725</v>
      </c>
      <c r="E330" s="4"/>
      <c r="F330" s="4"/>
      <c r="G330" s="4"/>
      <c r="H330" s="4"/>
      <c r="I330" s="4"/>
      <c r="J330" s="4"/>
      <c r="K330" s="4"/>
      <c r="L330" s="4"/>
      <c r="M330" s="7"/>
      <c r="N330" s="7"/>
      <c r="O330" s="4"/>
      <c r="P330" s="4"/>
      <c r="Q330" s="4"/>
      <c r="R330" s="4"/>
      <c r="S330" s="16">
        <v>0.87726333243464183</v>
      </c>
    </row>
    <row r="331" spans="4:19" x14ac:dyDescent="0.25">
      <c r="D331" s="38">
        <v>0.2805683302227906</v>
      </c>
      <c r="E331" s="4"/>
      <c r="F331" s="4"/>
      <c r="G331" s="4"/>
      <c r="H331" s="4"/>
      <c r="I331" s="4"/>
      <c r="J331" s="4"/>
      <c r="K331" s="4"/>
      <c r="L331" s="4"/>
      <c r="M331" s="7"/>
      <c r="N331" s="7"/>
      <c r="O331" s="4"/>
      <c r="P331" s="4"/>
      <c r="Q331" s="4"/>
      <c r="R331" s="4"/>
      <c r="S331" s="16">
        <v>1.765151447132296E-3</v>
      </c>
    </row>
    <row r="332" spans="4:19" x14ac:dyDescent="0.25">
      <c r="D332" s="38">
        <v>0.7377369904096216</v>
      </c>
      <c r="E332" s="4"/>
      <c r="F332" s="4"/>
      <c r="G332" s="4"/>
      <c r="H332" s="4"/>
      <c r="I332" s="4"/>
      <c r="J332" s="4"/>
      <c r="K332" s="4"/>
      <c r="L332" s="4"/>
      <c r="M332" s="7"/>
      <c r="N332" s="7"/>
      <c r="O332" s="4"/>
      <c r="P332" s="4"/>
      <c r="Q332" s="4"/>
      <c r="R332" s="4"/>
      <c r="S332" s="16">
        <v>0.9776330312915128</v>
      </c>
    </row>
    <row r="333" spans="4:19" x14ac:dyDescent="0.25">
      <c r="D333" s="38">
        <v>0.25822617735705278</v>
      </c>
      <c r="E333" s="4"/>
      <c r="F333" s="4"/>
      <c r="G333" s="4"/>
      <c r="H333" s="4"/>
      <c r="I333" s="4"/>
      <c r="J333" s="4"/>
      <c r="K333" s="4"/>
      <c r="L333" s="4"/>
      <c r="M333" s="7"/>
      <c r="N333" s="7"/>
      <c r="O333" s="4"/>
      <c r="P333" s="4"/>
      <c r="Q333" s="4"/>
      <c r="R333" s="4"/>
      <c r="S333" s="16">
        <v>0.30972409144396951</v>
      </c>
    </row>
    <row r="334" spans="4:19" x14ac:dyDescent="0.25">
      <c r="D334" s="38">
        <v>0.63911059699134898</v>
      </c>
      <c r="E334" s="4"/>
      <c r="F334" s="4"/>
      <c r="G334" s="4"/>
      <c r="H334" s="4"/>
      <c r="I334" s="4"/>
      <c r="J334" s="4"/>
      <c r="K334" s="4"/>
      <c r="L334" s="4"/>
      <c r="M334" s="7"/>
      <c r="N334" s="7"/>
      <c r="O334" s="4"/>
      <c r="P334" s="4"/>
      <c r="Q334" s="4"/>
      <c r="R334" s="4"/>
      <c r="S334" s="16">
        <v>0.87578937031394555</v>
      </c>
    </row>
    <row r="335" spans="4:19" x14ac:dyDescent="0.25">
      <c r="D335" s="38">
        <v>0.74206944106504069</v>
      </c>
      <c r="E335" s="4"/>
      <c r="F335" s="4"/>
      <c r="G335" s="4"/>
      <c r="H335" s="4"/>
      <c r="I335" s="4"/>
      <c r="J335" s="4"/>
      <c r="K335" s="4"/>
      <c r="L335" s="4"/>
      <c r="M335" s="7"/>
      <c r="N335" s="7"/>
      <c r="O335" s="4"/>
      <c r="P335" s="4"/>
      <c r="Q335" s="4"/>
      <c r="R335" s="4"/>
      <c r="S335" s="16">
        <v>3.9694386154481731E-2</v>
      </c>
    </row>
    <row r="336" spans="4:19" x14ac:dyDescent="0.25">
      <c r="D336" s="38">
        <v>4.56813832058095E-2</v>
      </c>
      <c r="E336" s="4"/>
      <c r="F336" s="4"/>
      <c r="G336" s="4"/>
      <c r="H336" s="4"/>
      <c r="I336" s="4"/>
      <c r="J336" s="4"/>
      <c r="K336" s="4"/>
      <c r="L336" s="4"/>
      <c r="M336" s="7"/>
      <c r="N336" s="7"/>
      <c r="O336" s="4"/>
      <c r="P336" s="4"/>
      <c r="Q336" s="4"/>
      <c r="R336" s="4"/>
      <c r="S336" s="16">
        <v>0.89138377763795362</v>
      </c>
    </row>
    <row r="337" spans="4:19" x14ac:dyDescent="0.25">
      <c r="D337" s="38">
        <v>0.85105864851594792</v>
      </c>
      <c r="E337" s="4"/>
      <c r="F337" s="4"/>
      <c r="G337" s="4"/>
      <c r="H337" s="4"/>
      <c r="I337" s="4"/>
      <c r="J337" s="4"/>
      <c r="K337" s="4"/>
      <c r="L337" s="4"/>
      <c r="M337" s="7"/>
      <c r="N337" s="7"/>
      <c r="O337" s="4"/>
      <c r="P337" s="4"/>
      <c r="Q337" s="4"/>
      <c r="R337" s="4"/>
      <c r="S337" s="16">
        <v>0.84238812991593004</v>
      </c>
    </row>
    <row r="338" spans="4:19" x14ac:dyDescent="0.25">
      <c r="D338" s="38">
        <v>0.30628743199986774</v>
      </c>
      <c r="E338" s="4"/>
      <c r="F338" s="4"/>
      <c r="G338" s="4"/>
      <c r="H338" s="4"/>
      <c r="I338" s="4"/>
      <c r="J338" s="4"/>
      <c r="K338" s="4"/>
      <c r="L338" s="4"/>
      <c r="M338" s="7"/>
      <c r="N338" s="7"/>
      <c r="O338" s="4"/>
      <c r="P338" s="4"/>
      <c r="Q338" s="4"/>
      <c r="R338" s="4"/>
      <c r="S338" s="16">
        <v>0.97073515726810611</v>
      </c>
    </row>
    <row r="339" spans="4:19" x14ac:dyDescent="0.25">
      <c r="D339" s="38">
        <v>0.35879085742045447</v>
      </c>
      <c r="E339" s="4"/>
      <c r="F339" s="4"/>
      <c r="G339" s="4"/>
      <c r="H339" s="4"/>
      <c r="I339" s="4"/>
      <c r="J339" s="4"/>
      <c r="K339" s="4"/>
      <c r="L339" s="4"/>
      <c r="M339" s="7"/>
      <c r="N339" s="7"/>
      <c r="O339" s="4"/>
      <c r="P339" s="4"/>
      <c r="Q339" s="4"/>
      <c r="R339" s="4"/>
      <c r="S339" s="16">
        <v>0.2171035240608401</v>
      </c>
    </row>
    <row r="340" spans="4:19" x14ac:dyDescent="0.25">
      <c r="D340" s="38">
        <v>0.89517282662731057</v>
      </c>
      <c r="E340" s="4"/>
      <c r="F340" s="4"/>
      <c r="G340" s="4"/>
      <c r="H340" s="4"/>
      <c r="I340" s="4"/>
      <c r="J340" s="4"/>
      <c r="K340" s="4"/>
      <c r="L340" s="4"/>
      <c r="M340" s="7"/>
      <c r="N340" s="7"/>
      <c r="O340" s="4"/>
      <c r="P340" s="4"/>
      <c r="Q340" s="4"/>
      <c r="R340" s="4"/>
      <c r="S340" s="16">
        <v>9.990174957160658E-2</v>
      </c>
    </row>
    <row r="341" spans="4:19" x14ac:dyDescent="0.25">
      <c r="D341" s="38">
        <v>0.59537592839454656</v>
      </c>
      <c r="E341" s="4"/>
      <c r="F341" s="4"/>
      <c r="G341" s="4"/>
      <c r="H341" s="4"/>
      <c r="I341" s="4"/>
      <c r="J341" s="4"/>
      <c r="K341" s="4"/>
      <c r="L341" s="4"/>
      <c r="M341" s="7"/>
      <c r="N341" s="7"/>
      <c r="O341" s="4"/>
      <c r="P341" s="4"/>
      <c r="Q341" s="4"/>
      <c r="R341" s="4"/>
      <c r="S341" s="16">
        <v>0.31847045688096465</v>
      </c>
    </row>
    <row r="342" spans="4:19" x14ac:dyDescent="0.25">
      <c r="D342" s="38">
        <v>0.33286972053389308</v>
      </c>
      <c r="E342" s="4"/>
      <c r="F342" s="4"/>
      <c r="G342" s="4"/>
      <c r="H342" s="4"/>
      <c r="I342" s="4"/>
      <c r="J342" s="4"/>
      <c r="K342" s="4"/>
      <c r="L342" s="4"/>
      <c r="M342" s="7"/>
      <c r="N342" s="7"/>
      <c r="O342" s="4"/>
      <c r="P342" s="4"/>
      <c r="Q342" s="4"/>
      <c r="R342" s="4"/>
      <c r="S342" s="16">
        <v>0.17032830765819518</v>
      </c>
    </row>
    <row r="343" spans="4:19" x14ac:dyDescent="0.25">
      <c r="D343" s="38">
        <v>0.26566830997432378</v>
      </c>
      <c r="E343" s="4"/>
      <c r="F343" s="4"/>
      <c r="G343" s="4"/>
      <c r="H343" s="4"/>
      <c r="I343" s="4"/>
      <c r="J343" s="4"/>
      <c r="K343" s="4"/>
      <c r="L343" s="4"/>
      <c r="M343" s="7"/>
      <c r="N343" s="7"/>
      <c r="O343" s="4"/>
      <c r="P343" s="4"/>
      <c r="Q343" s="4"/>
      <c r="R343" s="4"/>
      <c r="S343" s="16">
        <v>0.16790988917362326</v>
      </c>
    </row>
    <row r="344" spans="4:19" x14ac:dyDescent="0.25">
      <c r="D344" s="38">
        <v>0.64002716458925768</v>
      </c>
      <c r="E344" s="4"/>
      <c r="F344" s="4"/>
      <c r="G344" s="4"/>
      <c r="H344" s="4"/>
      <c r="I344" s="4"/>
      <c r="J344" s="4"/>
      <c r="K344" s="4"/>
      <c r="L344" s="4"/>
      <c r="M344" s="7"/>
      <c r="N344" s="7"/>
      <c r="O344" s="4"/>
      <c r="P344" s="4"/>
      <c r="Q344" s="4"/>
      <c r="R344" s="4"/>
      <c r="S344" s="16">
        <v>0.76591957567920954</v>
      </c>
    </row>
    <row r="345" spans="4:19" x14ac:dyDescent="0.25">
      <c r="D345" s="38">
        <v>9.4976793579570784E-2</v>
      </c>
      <c r="E345" s="4"/>
      <c r="F345" s="4"/>
      <c r="G345" s="4"/>
      <c r="H345" s="4"/>
      <c r="I345" s="4"/>
      <c r="J345" s="4"/>
      <c r="K345" s="4"/>
      <c r="L345" s="4"/>
      <c r="M345" s="7"/>
      <c r="N345" s="7"/>
      <c r="O345" s="4"/>
      <c r="P345" s="4"/>
      <c r="Q345" s="4"/>
      <c r="R345" s="4"/>
      <c r="S345" s="16">
        <v>0.39046209985213465</v>
      </c>
    </row>
    <row r="346" spans="4:19" x14ac:dyDescent="0.25">
      <c r="D346" s="38">
        <v>0.74029555322201901</v>
      </c>
      <c r="E346" s="4"/>
      <c r="F346" s="4"/>
      <c r="G346" s="4"/>
      <c r="H346" s="4"/>
      <c r="I346" s="4"/>
      <c r="J346" s="4"/>
      <c r="K346" s="4"/>
      <c r="L346" s="4"/>
      <c r="M346" s="7"/>
      <c r="N346" s="7"/>
      <c r="O346" s="4"/>
      <c r="P346" s="4"/>
      <c r="Q346" s="4"/>
      <c r="R346" s="4"/>
      <c r="S346" s="16">
        <v>0.50749482105744126</v>
      </c>
    </row>
    <row r="347" spans="4:19" x14ac:dyDescent="0.25">
      <c r="D347" s="38">
        <v>0.90363606450968259</v>
      </c>
      <c r="E347" s="4"/>
      <c r="F347" s="4"/>
      <c r="G347" s="4"/>
      <c r="H347" s="4"/>
      <c r="I347" s="4"/>
      <c r="J347" s="4"/>
      <c r="K347" s="4"/>
      <c r="L347" s="4"/>
      <c r="M347" s="7"/>
      <c r="N347" s="7"/>
      <c r="O347" s="4"/>
      <c r="P347" s="4"/>
      <c r="Q347" s="4"/>
      <c r="R347" s="4"/>
      <c r="S347" s="16">
        <v>0.53274946716718885</v>
      </c>
    </row>
    <row r="348" spans="4:19" x14ac:dyDescent="0.25">
      <c r="D348" s="38">
        <v>0.39920340770298779</v>
      </c>
      <c r="E348" s="4"/>
      <c r="F348" s="4"/>
      <c r="G348" s="4"/>
      <c r="H348" s="4"/>
      <c r="I348" s="4"/>
      <c r="J348" s="4"/>
      <c r="K348" s="4"/>
      <c r="L348" s="4"/>
      <c r="M348" s="7"/>
      <c r="N348" s="7"/>
      <c r="O348" s="4"/>
      <c r="P348" s="4"/>
      <c r="Q348" s="4"/>
      <c r="R348" s="4"/>
      <c r="S348" s="16">
        <v>0.41357687260499143</v>
      </c>
    </row>
    <row r="349" spans="4:19" x14ac:dyDescent="0.25">
      <c r="D349" s="38">
        <v>0.26279028476159405</v>
      </c>
      <c r="E349" s="4"/>
      <c r="F349" s="4"/>
      <c r="G349" s="4"/>
      <c r="H349" s="4"/>
      <c r="I349" s="4"/>
      <c r="J349" s="4"/>
      <c r="K349" s="4"/>
      <c r="L349" s="4"/>
      <c r="M349" s="7"/>
      <c r="N349" s="7"/>
      <c r="O349" s="4"/>
      <c r="P349" s="4"/>
      <c r="Q349" s="4"/>
      <c r="R349" s="4"/>
      <c r="S349" s="16">
        <v>0.50658990942007853</v>
      </c>
    </row>
    <row r="350" spans="4:19" x14ac:dyDescent="0.25">
      <c r="D350" s="38">
        <v>0.44665797673965424</v>
      </c>
      <c r="E350" s="4"/>
      <c r="F350" s="4"/>
      <c r="G350" s="4"/>
      <c r="H350" s="4"/>
      <c r="I350" s="4"/>
      <c r="J350" s="4"/>
      <c r="K350" s="4"/>
      <c r="L350" s="4"/>
      <c r="M350" s="7"/>
      <c r="N350" s="7"/>
      <c r="O350" s="4"/>
      <c r="P350" s="4"/>
      <c r="Q350" s="4"/>
      <c r="R350" s="4"/>
      <c r="S350" s="16">
        <v>7.4743308011337217E-2</v>
      </c>
    </row>
    <row r="351" spans="4:19" x14ac:dyDescent="0.25">
      <c r="D351" s="38">
        <v>0.32036728982782581</v>
      </c>
      <c r="E351" s="4"/>
      <c r="F351" s="4"/>
      <c r="G351" s="4"/>
      <c r="H351" s="4"/>
      <c r="I351" s="4"/>
      <c r="J351" s="4"/>
      <c r="K351" s="4"/>
      <c r="L351" s="4"/>
      <c r="M351" s="7"/>
      <c r="N351" s="7"/>
      <c r="O351" s="4"/>
      <c r="P351" s="4"/>
      <c r="Q351" s="4"/>
      <c r="R351" s="4"/>
      <c r="S351" s="16">
        <v>0.11333179690062822</v>
      </c>
    </row>
    <row r="352" spans="4:19" x14ac:dyDescent="0.25">
      <c r="D352" s="38">
        <v>7.1116332728072718E-2</v>
      </c>
      <c r="E352" s="4"/>
      <c r="F352" s="4"/>
      <c r="G352" s="4"/>
      <c r="H352" s="4"/>
      <c r="I352" s="4"/>
      <c r="J352" s="4"/>
      <c r="K352" s="4"/>
      <c r="L352" s="4"/>
      <c r="M352" s="7"/>
      <c r="N352" s="7"/>
      <c r="O352" s="4"/>
      <c r="P352" s="4"/>
      <c r="Q352" s="4"/>
      <c r="R352" s="4"/>
      <c r="S352" s="16">
        <v>9.3700320318545804E-2</v>
      </c>
    </row>
    <row r="353" spans="4:19" x14ac:dyDescent="0.25">
      <c r="D353" s="38">
        <v>4.4680875575679013E-2</v>
      </c>
      <c r="E353" s="4"/>
      <c r="F353" s="4"/>
      <c r="G353" s="4"/>
      <c r="H353" s="4"/>
      <c r="I353" s="4"/>
      <c r="J353" s="4"/>
      <c r="K353" s="4"/>
      <c r="L353" s="4"/>
      <c r="M353" s="7"/>
      <c r="N353" s="7"/>
      <c r="O353" s="4"/>
      <c r="P353" s="4"/>
      <c r="Q353" s="4"/>
      <c r="R353" s="4"/>
      <c r="S353" s="16">
        <v>0.87191901401962346</v>
      </c>
    </row>
    <row r="354" spans="4:19" x14ac:dyDescent="0.25">
      <c r="D354" s="38">
        <v>0.76468903290770751</v>
      </c>
      <c r="E354" s="4"/>
      <c r="F354" s="4"/>
      <c r="G354" s="4"/>
      <c r="H354" s="4"/>
      <c r="I354" s="4"/>
      <c r="J354" s="4"/>
      <c r="K354" s="4"/>
      <c r="L354" s="4"/>
      <c r="M354" s="7"/>
      <c r="N354" s="7"/>
      <c r="O354" s="4"/>
      <c r="P354" s="4"/>
      <c r="Q354" s="4"/>
      <c r="R354" s="4"/>
      <c r="S354" s="16">
        <v>0.96383401831279136</v>
      </c>
    </row>
    <row r="355" spans="4:19" x14ac:dyDescent="0.25">
      <c r="D355" s="38">
        <v>0.50121642676318401</v>
      </c>
      <c r="E355" s="4"/>
      <c r="F355" s="4"/>
      <c r="G355" s="4"/>
      <c r="H355" s="4"/>
      <c r="I355" s="4"/>
      <c r="J355" s="4"/>
      <c r="K355" s="4"/>
      <c r="L355" s="4"/>
      <c r="M355" s="7"/>
      <c r="N355" s="7"/>
      <c r="O355" s="4"/>
      <c r="P355" s="4"/>
      <c r="Q355" s="4"/>
      <c r="R355" s="4"/>
      <c r="S355" s="16">
        <v>0.2874303510312225</v>
      </c>
    </row>
    <row r="356" spans="4:19" x14ac:dyDescent="0.25">
      <c r="D356" s="38">
        <v>0.51167214193455768</v>
      </c>
      <c r="E356" s="4"/>
      <c r="F356" s="4"/>
      <c r="G356" s="4"/>
      <c r="H356" s="4"/>
      <c r="I356" s="4"/>
      <c r="J356" s="4"/>
      <c r="K356" s="4"/>
      <c r="L356" s="4"/>
      <c r="M356" s="7"/>
      <c r="N356" s="7"/>
      <c r="O356" s="4"/>
      <c r="P356" s="4"/>
      <c r="Q356" s="4"/>
      <c r="R356" s="4"/>
      <c r="S356" s="16">
        <v>3.388490764182428E-2</v>
      </c>
    </row>
    <row r="357" spans="4:19" x14ac:dyDescent="0.25">
      <c r="D357" s="38">
        <v>8.4769552488574984E-2</v>
      </c>
      <c r="E357" s="4"/>
      <c r="F357" s="4"/>
      <c r="G357" s="4"/>
      <c r="H357" s="4"/>
      <c r="I357" s="4"/>
      <c r="J357" s="4"/>
      <c r="K357" s="4"/>
      <c r="L357" s="4"/>
      <c r="M357" s="7"/>
      <c r="N357" s="7"/>
      <c r="O357" s="4"/>
      <c r="P357" s="4"/>
      <c r="Q357" s="4"/>
      <c r="R357" s="4"/>
      <c r="S357" s="16">
        <v>0.37947398896602402</v>
      </c>
    </row>
    <row r="358" spans="4:19" x14ac:dyDescent="0.25">
      <c r="D358" s="38">
        <v>0.93410347660116144</v>
      </c>
      <c r="E358" s="4"/>
      <c r="F358" s="4"/>
      <c r="G358" s="4"/>
      <c r="H358" s="4"/>
      <c r="I358" s="4"/>
      <c r="J358" s="4"/>
      <c r="K358" s="4"/>
      <c r="L358" s="4"/>
      <c r="M358" s="7"/>
      <c r="N358" s="7"/>
      <c r="O358" s="4"/>
      <c r="P358" s="4"/>
      <c r="Q358" s="4"/>
      <c r="R358" s="4"/>
      <c r="S358" s="16">
        <v>0.3308845431890407</v>
      </c>
    </row>
    <row r="359" spans="4:19" x14ac:dyDescent="0.25">
      <c r="D359" s="38">
        <v>0.6618894989481412</v>
      </c>
      <c r="E359" s="4"/>
      <c r="F359" s="4"/>
      <c r="G359" s="4"/>
      <c r="H359" s="4"/>
      <c r="I359" s="4"/>
      <c r="J359" s="4"/>
      <c r="K359" s="4"/>
      <c r="L359" s="4"/>
      <c r="M359" s="7"/>
      <c r="N359" s="7"/>
      <c r="O359" s="4"/>
      <c r="P359" s="4"/>
      <c r="Q359" s="4"/>
      <c r="R359" s="4"/>
      <c r="S359" s="16">
        <v>0.39697977007860696</v>
      </c>
    </row>
    <row r="360" spans="4:19" x14ac:dyDescent="0.25">
      <c r="D360" s="38">
        <v>0.49278854423940288</v>
      </c>
      <c r="E360" s="4"/>
      <c r="F360" s="4"/>
      <c r="G360" s="4"/>
      <c r="H360" s="4"/>
      <c r="I360" s="4"/>
      <c r="J360" s="4"/>
      <c r="K360" s="4"/>
      <c r="L360" s="4"/>
      <c r="M360" s="7"/>
      <c r="N360" s="7"/>
      <c r="O360" s="4"/>
      <c r="P360" s="4"/>
      <c r="Q360" s="4"/>
      <c r="R360" s="4"/>
      <c r="S360" s="16">
        <v>0.16416712228501884</v>
      </c>
    </row>
    <row r="361" spans="4:19" x14ac:dyDescent="0.25">
      <c r="D361" s="38">
        <v>0.30188093134006955</v>
      </c>
      <c r="E361" s="4"/>
      <c r="F361" s="4"/>
      <c r="G361" s="4"/>
      <c r="H361" s="4"/>
      <c r="I361" s="4"/>
      <c r="J361" s="4"/>
      <c r="K361" s="4"/>
      <c r="L361" s="4"/>
      <c r="M361" s="7"/>
      <c r="N361" s="7"/>
      <c r="O361" s="4"/>
      <c r="P361" s="4"/>
      <c r="Q361" s="4"/>
      <c r="R361" s="4"/>
      <c r="S361" s="16">
        <v>0.89188050210911884</v>
      </c>
    </row>
    <row r="362" spans="4:19" x14ac:dyDescent="0.25">
      <c r="D362" s="38">
        <v>0.97652519897885681</v>
      </c>
      <c r="E362" s="4"/>
      <c r="F362" s="4"/>
      <c r="G362" s="4"/>
      <c r="H362" s="4"/>
      <c r="I362" s="4"/>
      <c r="J362" s="4"/>
      <c r="K362" s="4"/>
      <c r="L362" s="4"/>
      <c r="M362" s="7"/>
      <c r="N362" s="7"/>
      <c r="O362" s="4"/>
      <c r="P362" s="4"/>
      <c r="Q362" s="4"/>
      <c r="R362" s="4"/>
      <c r="S362" s="16">
        <v>0.72953143154929712</v>
      </c>
    </row>
    <row r="363" spans="4:19" x14ac:dyDescent="0.25">
      <c r="D363" s="38">
        <v>0.51805150098694475</v>
      </c>
      <c r="E363" s="4"/>
      <c r="F363" s="4"/>
      <c r="G363" s="4"/>
      <c r="H363" s="4"/>
      <c r="I363" s="4"/>
      <c r="J363" s="4"/>
      <c r="K363" s="4"/>
      <c r="L363" s="4"/>
      <c r="M363" s="7"/>
      <c r="N363" s="7"/>
      <c r="O363" s="4"/>
      <c r="P363" s="4"/>
      <c r="Q363" s="4"/>
      <c r="R363" s="4"/>
      <c r="S363" s="16">
        <v>0.35154013092910352</v>
      </c>
    </row>
    <row r="364" spans="4:19" x14ac:dyDescent="0.25">
      <c r="D364" s="38">
        <v>0.28811107911715361</v>
      </c>
      <c r="E364" s="4"/>
      <c r="F364" s="4"/>
      <c r="G364" s="4"/>
      <c r="H364" s="4"/>
      <c r="I364" s="4"/>
      <c r="J364" s="4"/>
      <c r="K364" s="4"/>
      <c r="L364" s="4"/>
      <c r="M364" s="7"/>
      <c r="N364" s="7"/>
      <c r="O364" s="4"/>
      <c r="P364" s="4"/>
      <c r="Q364" s="4"/>
      <c r="R364" s="4"/>
      <c r="S364" s="16">
        <v>0.52043135273627439</v>
      </c>
    </row>
    <row r="365" spans="4:19" x14ac:dyDescent="0.25">
      <c r="D365" s="38">
        <v>0.3852050482599203</v>
      </c>
      <c r="E365" s="4"/>
      <c r="F365" s="4"/>
      <c r="G365" s="4"/>
      <c r="H365" s="4"/>
      <c r="I365" s="4"/>
      <c r="J365" s="4"/>
      <c r="K365" s="4"/>
      <c r="L365" s="4"/>
      <c r="M365" s="7"/>
      <c r="N365" s="7"/>
      <c r="O365" s="4"/>
      <c r="P365" s="4"/>
      <c r="Q365" s="4"/>
      <c r="R365" s="4"/>
      <c r="S365" s="16">
        <v>0.77892407646283046</v>
      </c>
    </row>
    <row r="366" spans="4:19" x14ac:dyDescent="0.25">
      <c r="D366" s="38">
        <v>0.2306944399309131</v>
      </c>
      <c r="E366" s="4"/>
      <c r="F366" s="4"/>
      <c r="G366" s="4"/>
      <c r="H366" s="4"/>
      <c r="I366" s="4"/>
      <c r="J366" s="4"/>
      <c r="K366" s="4"/>
      <c r="L366" s="4"/>
      <c r="M366" s="7"/>
      <c r="N366" s="7"/>
      <c r="O366" s="4"/>
      <c r="P366" s="4"/>
      <c r="Q366" s="4"/>
      <c r="R366" s="4"/>
      <c r="S366" s="16">
        <v>0.93255787421026193</v>
      </c>
    </row>
    <row r="367" spans="4:19" x14ac:dyDescent="0.25">
      <c r="D367" s="38">
        <v>0.34562465309814072</v>
      </c>
      <c r="E367" s="4"/>
      <c r="F367" s="4"/>
      <c r="G367" s="4"/>
      <c r="H367" s="4"/>
      <c r="I367" s="4"/>
      <c r="J367" s="4"/>
      <c r="K367" s="4"/>
      <c r="L367" s="4"/>
      <c r="M367" s="7"/>
      <c r="N367" s="7"/>
      <c r="O367" s="4"/>
      <c r="P367" s="4"/>
      <c r="Q367" s="4"/>
      <c r="R367" s="4"/>
      <c r="S367" s="16">
        <v>0.46430993705651791</v>
      </c>
    </row>
    <row r="368" spans="4:19" x14ac:dyDescent="0.25">
      <c r="D368" s="38">
        <v>0.93581721800815387</v>
      </c>
      <c r="E368" s="4"/>
      <c r="F368" s="4"/>
      <c r="G368" s="4"/>
      <c r="H368" s="4"/>
      <c r="I368" s="4"/>
      <c r="J368" s="4"/>
      <c r="K368" s="4"/>
      <c r="L368" s="4"/>
      <c r="M368" s="7"/>
      <c r="N368" s="7"/>
      <c r="O368" s="4"/>
      <c r="P368" s="4"/>
      <c r="Q368" s="4"/>
      <c r="R368" s="4"/>
      <c r="S368" s="16">
        <v>0.21950695517297847</v>
      </c>
    </row>
    <row r="369" spans="4:19" x14ac:dyDescent="0.25">
      <c r="D369" s="38">
        <v>3.2869671462351646E-2</v>
      </c>
      <c r="E369" s="4"/>
      <c r="F369" s="4"/>
      <c r="G369" s="4"/>
      <c r="H369" s="4"/>
      <c r="I369" s="4"/>
      <c r="J369" s="4"/>
      <c r="K369" s="4"/>
      <c r="L369" s="4"/>
      <c r="M369" s="7"/>
      <c r="N369" s="7"/>
      <c r="O369" s="4"/>
      <c r="P369" s="4"/>
      <c r="Q369" s="4"/>
      <c r="R369" s="4"/>
      <c r="S369" s="16">
        <v>0.96061607449752984</v>
      </c>
    </row>
    <row r="370" spans="4:19" x14ac:dyDescent="0.25">
      <c r="D370" s="38">
        <v>0.66582188670352871</v>
      </c>
      <c r="E370" s="4"/>
      <c r="F370" s="4"/>
      <c r="G370" s="4"/>
      <c r="H370" s="4"/>
      <c r="I370" s="4"/>
      <c r="J370" s="4"/>
      <c r="K370" s="4"/>
      <c r="L370" s="4"/>
      <c r="M370" s="7"/>
      <c r="N370" s="7"/>
      <c r="O370" s="4"/>
      <c r="P370" s="4"/>
      <c r="Q370" s="4"/>
      <c r="R370" s="4"/>
      <c r="S370" s="16">
        <v>0.90422443960100252</v>
      </c>
    </row>
    <row r="371" spans="4:19" x14ac:dyDescent="0.25">
      <c r="D371" s="38">
        <v>0.36245813570092278</v>
      </c>
      <c r="E371" s="4"/>
      <c r="F371" s="4"/>
      <c r="G371" s="4"/>
      <c r="H371" s="4"/>
      <c r="I371" s="4"/>
      <c r="J371" s="4"/>
      <c r="K371" s="4"/>
      <c r="L371" s="4"/>
      <c r="M371" s="7"/>
      <c r="N371" s="7"/>
      <c r="O371" s="4"/>
      <c r="P371" s="4"/>
      <c r="Q371" s="4"/>
      <c r="R371" s="4"/>
      <c r="S371" s="16">
        <v>0.10435575160466404</v>
      </c>
    </row>
    <row r="372" spans="4:19" x14ac:dyDescent="0.25">
      <c r="D372" s="38">
        <v>0.64700907962925103</v>
      </c>
      <c r="E372" s="4"/>
      <c r="F372" s="4"/>
      <c r="G372" s="4"/>
      <c r="H372" s="4"/>
      <c r="I372" s="4"/>
      <c r="J372" s="4"/>
      <c r="K372" s="4"/>
      <c r="L372" s="4"/>
      <c r="M372" s="7"/>
      <c r="N372" s="7"/>
      <c r="O372" s="4"/>
      <c r="P372" s="4"/>
      <c r="Q372" s="4"/>
      <c r="R372" s="4"/>
      <c r="S372" s="16">
        <v>0.23657967541282299</v>
      </c>
    </row>
    <row r="373" spans="4:19" x14ac:dyDescent="0.25">
      <c r="D373" s="38">
        <v>0.27738751728828104</v>
      </c>
      <c r="E373" s="4"/>
      <c r="F373" s="4"/>
      <c r="G373" s="4"/>
      <c r="H373" s="4"/>
      <c r="I373" s="4"/>
      <c r="J373" s="4"/>
      <c r="K373" s="4"/>
      <c r="L373" s="4"/>
      <c r="M373" s="7"/>
      <c r="N373" s="7"/>
      <c r="O373" s="4"/>
      <c r="P373" s="4"/>
      <c r="Q373" s="4"/>
      <c r="R373" s="4"/>
      <c r="S373" s="16">
        <v>0.51604061435732862</v>
      </c>
    </row>
    <row r="374" spans="4:19" x14ac:dyDescent="0.25">
      <c r="D374" s="38">
        <v>0.14243858574610235</v>
      </c>
      <c r="E374" s="4"/>
      <c r="F374" s="4"/>
      <c r="G374" s="4"/>
      <c r="H374" s="4"/>
      <c r="I374" s="4"/>
      <c r="J374" s="4"/>
      <c r="K374" s="4"/>
      <c r="L374" s="4"/>
      <c r="M374" s="7"/>
      <c r="N374" s="7"/>
      <c r="O374" s="4"/>
      <c r="P374" s="4"/>
      <c r="Q374" s="4"/>
      <c r="R374" s="4"/>
      <c r="S374" s="16">
        <v>0.8909250452672931</v>
      </c>
    </row>
    <row r="375" spans="4:19" x14ac:dyDescent="0.25">
      <c r="D375" s="38">
        <v>0.11308948733256075</v>
      </c>
      <c r="E375" s="4"/>
      <c r="F375" s="4"/>
      <c r="G375" s="4"/>
      <c r="H375" s="4"/>
      <c r="I375" s="4"/>
      <c r="J375" s="4"/>
      <c r="K375" s="4"/>
      <c r="L375" s="4"/>
      <c r="M375" s="7"/>
      <c r="N375" s="7"/>
      <c r="O375" s="4"/>
      <c r="P375" s="4"/>
      <c r="Q375" s="4"/>
      <c r="R375" s="4"/>
      <c r="S375" s="16">
        <v>0.86791857094662228</v>
      </c>
    </row>
    <row r="376" spans="4:19" x14ac:dyDescent="0.25">
      <c r="D376" s="38">
        <v>0.81334607589043673</v>
      </c>
      <c r="E376" s="4"/>
      <c r="F376" s="4"/>
      <c r="G376" s="4"/>
      <c r="H376" s="4"/>
      <c r="I376" s="4"/>
      <c r="J376" s="4"/>
      <c r="K376" s="4"/>
      <c r="L376" s="4"/>
      <c r="M376" s="7"/>
      <c r="N376" s="7"/>
      <c r="O376" s="4"/>
      <c r="P376" s="4"/>
      <c r="Q376" s="4"/>
      <c r="R376" s="4"/>
      <c r="S376" s="16">
        <v>0.52595675834588496</v>
      </c>
    </row>
    <row r="377" spans="4:19" x14ac:dyDescent="0.25">
      <c r="D377" s="38">
        <v>0.39567425375708543</v>
      </c>
      <c r="E377" s="4"/>
      <c r="F377" s="4"/>
      <c r="G377" s="4"/>
      <c r="H377" s="4"/>
      <c r="I377" s="4"/>
      <c r="J377" s="4"/>
      <c r="K377" s="4"/>
      <c r="L377" s="4"/>
      <c r="M377" s="7"/>
      <c r="N377" s="7"/>
      <c r="O377" s="4"/>
      <c r="P377" s="4"/>
      <c r="Q377" s="4"/>
      <c r="R377" s="4"/>
      <c r="S377" s="16">
        <v>6.7970082980666646E-2</v>
      </c>
    </row>
    <row r="378" spans="4:19" x14ac:dyDescent="0.25">
      <c r="D378" s="38">
        <v>5.3436997980763845E-2</v>
      </c>
      <c r="E378" s="4"/>
      <c r="F378" s="4"/>
      <c r="G378" s="4"/>
      <c r="H378" s="4"/>
      <c r="I378" s="4"/>
      <c r="J378" s="4"/>
      <c r="K378" s="4"/>
      <c r="L378" s="4"/>
      <c r="M378" s="7"/>
      <c r="N378" s="7"/>
      <c r="O378" s="4"/>
      <c r="P378" s="4"/>
      <c r="Q378" s="4"/>
      <c r="R378" s="4"/>
      <c r="S378" s="16">
        <v>0.63862115458909863</v>
      </c>
    </row>
    <row r="379" spans="4:19" x14ac:dyDescent="0.25">
      <c r="D379" s="38">
        <v>4.593737126608155E-3</v>
      </c>
      <c r="E379" s="4"/>
      <c r="F379" s="4"/>
      <c r="G379" s="4"/>
      <c r="H379" s="4"/>
      <c r="I379" s="4"/>
      <c r="J379" s="4"/>
      <c r="K379" s="4"/>
      <c r="L379" s="4"/>
      <c r="M379" s="7"/>
      <c r="N379" s="7"/>
      <c r="O379" s="4"/>
      <c r="P379" s="4"/>
      <c r="Q379" s="4"/>
      <c r="R379" s="4"/>
      <c r="S379" s="16">
        <v>0.2571706681428988</v>
      </c>
    </row>
    <row r="380" spans="4:19" x14ac:dyDescent="0.25">
      <c r="D380" s="38">
        <v>0.52838485373585153</v>
      </c>
      <c r="E380" s="4"/>
      <c r="F380" s="4"/>
      <c r="G380" s="4"/>
      <c r="H380" s="4"/>
      <c r="I380" s="4"/>
      <c r="J380" s="4"/>
      <c r="K380" s="4"/>
      <c r="L380" s="4"/>
      <c r="M380" s="7"/>
      <c r="N380" s="7"/>
      <c r="O380" s="4"/>
      <c r="P380" s="4"/>
      <c r="Q380" s="4"/>
      <c r="R380" s="4"/>
      <c r="S380" s="16">
        <v>4.2721425076264197E-2</v>
      </c>
    </row>
    <row r="381" spans="4:19" x14ac:dyDescent="0.25">
      <c r="D381" s="38">
        <v>0.51672178635972843</v>
      </c>
      <c r="E381" s="4"/>
      <c r="F381" s="4"/>
      <c r="G381" s="4"/>
      <c r="H381" s="4"/>
      <c r="I381" s="4"/>
      <c r="J381" s="4"/>
      <c r="K381" s="4"/>
      <c r="L381" s="4"/>
      <c r="M381" s="7"/>
      <c r="N381" s="7"/>
      <c r="O381" s="4"/>
      <c r="P381" s="4"/>
      <c r="Q381" s="4"/>
      <c r="R381" s="4"/>
      <c r="S381" s="16">
        <v>0.60661650865550731</v>
      </c>
    </row>
    <row r="382" spans="4:19" x14ac:dyDescent="0.25">
      <c r="D382" s="38">
        <v>0.44812540379512578</v>
      </c>
      <c r="E382" s="4"/>
      <c r="F382" s="4"/>
      <c r="G382" s="4"/>
      <c r="H382" s="4"/>
      <c r="I382" s="4"/>
      <c r="J382" s="4"/>
      <c r="K382" s="4"/>
      <c r="L382" s="4"/>
      <c r="M382" s="7"/>
      <c r="N382" s="7"/>
      <c r="O382" s="4"/>
      <c r="P382" s="4"/>
      <c r="Q382" s="4"/>
      <c r="R382" s="4"/>
      <c r="S382" s="16">
        <v>0.28093970241123567</v>
      </c>
    </row>
    <row r="383" spans="4:19" x14ac:dyDescent="0.25">
      <c r="D383" s="38">
        <v>0.88049837583486368</v>
      </c>
      <c r="E383" s="4"/>
      <c r="F383" s="4"/>
      <c r="G383" s="4"/>
      <c r="H383" s="4"/>
      <c r="I383" s="4"/>
      <c r="J383" s="4"/>
      <c r="K383" s="4"/>
      <c r="L383" s="4"/>
      <c r="M383" s="7"/>
      <c r="N383" s="7"/>
      <c r="O383" s="4"/>
      <c r="P383" s="4"/>
      <c r="Q383" s="4"/>
      <c r="R383" s="4"/>
      <c r="S383" s="16">
        <v>0.98645471942667728</v>
      </c>
    </row>
    <row r="384" spans="4:19" x14ac:dyDescent="0.25">
      <c r="D384" s="38">
        <v>0.50211835224112222</v>
      </c>
      <c r="E384" s="4"/>
      <c r="F384" s="4"/>
      <c r="G384" s="4"/>
      <c r="H384" s="4"/>
      <c r="I384" s="4"/>
      <c r="J384" s="4"/>
      <c r="K384" s="4"/>
      <c r="L384" s="4"/>
      <c r="M384" s="7"/>
      <c r="N384" s="7"/>
      <c r="O384" s="4"/>
      <c r="P384" s="4"/>
      <c r="Q384" s="4"/>
      <c r="R384" s="4"/>
      <c r="S384" s="16">
        <v>0.93239688469488213</v>
      </c>
    </row>
    <row r="385" spans="4:19" x14ac:dyDescent="0.25">
      <c r="D385" s="38">
        <v>0.59677729491107812</v>
      </c>
      <c r="E385" s="4"/>
      <c r="F385" s="4"/>
      <c r="G385" s="4"/>
      <c r="H385" s="4"/>
      <c r="I385" s="4"/>
      <c r="J385" s="4"/>
      <c r="K385" s="4"/>
      <c r="L385" s="4"/>
      <c r="M385" s="7"/>
      <c r="N385" s="7"/>
      <c r="O385" s="4"/>
      <c r="P385" s="4"/>
      <c r="Q385" s="4"/>
      <c r="R385" s="4"/>
      <c r="S385" s="16">
        <v>0.60210663323649261</v>
      </c>
    </row>
    <row r="386" spans="4:19" x14ac:dyDescent="0.25">
      <c r="D386" s="38">
        <v>0.96076244621734996</v>
      </c>
      <c r="E386" s="4"/>
      <c r="F386" s="4"/>
      <c r="G386" s="4"/>
      <c r="H386" s="4"/>
      <c r="I386" s="4"/>
      <c r="J386" s="4"/>
      <c r="K386" s="4"/>
      <c r="L386" s="4"/>
      <c r="M386" s="7"/>
      <c r="N386" s="7"/>
      <c r="O386" s="4"/>
      <c r="P386" s="4"/>
      <c r="Q386" s="4"/>
      <c r="R386" s="4"/>
      <c r="S386" s="16">
        <v>0.96297365013911429</v>
      </c>
    </row>
    <row r="387" spans="4:19" x14ac:dyDescent="0.25">
      <c r="D387" s="38">
        <v>0.77869154387968176</v>
      </c>
      <c r="E387" s="4"/>
      <c r="F387" s="4"/>
      <c r="G387" s="4"/>
      <c r="H387" s="4"/>
      <c r="I387" s="4"/>
      <c r="J387" s="4"/>
      <c r="K387" s="4"/>
      <c r="L387" s="4"/>
      <c r="M387" s="7"/>
      <c r="N387" s="7"/>
      <c r="O387" s="4"/>
      <c r="P387" s="4"/>
      <c r="Q387" s="4"/>
      <c r="R387" s="4"/>
      <c r="S387" s="16">
        <v>8.0250106800909382E-2</v>
      </c>
    </row>
    <row r="388" spans="4:19" x14ac:dyDescent="0.25">
      <c r="D388" s="38">
        <v>0.9059111121732174</v>
      </c>
      <c r="E388" s="4"/>
      <c r="F388" s="4"/>
      <c r="G388" s="4"/>
      <c r="H388" s="4"/>
      <c r="I388" s="4"/>
      <c r="J388" s="4"/>
      <c r="K388" s="4"/>
      <c r="L388" s="4"/>
      <c r="M388" s="7"/>
      <c r="N388" s="7"/>
      <c r="O388" s="4"/>
      <c r="P388" s="4"/>
      <c r="Q388" s="4"/>
      <c r="R388" s="4"/>
      <c r="S388" s="16">
        <v>5.4538260309496267E-2</v>
      </c>
    </row>
    <row r="389" spans="4:19" x14ac:dyDescent="0.25">
      <c r="D389" s="38">
        <v>0.38532229462212042</v>
      </c>
      <c r="E389" s="4"/>
      <c r="F389" s="4"/>
      <c r="G389" s="4"/>
      <c r="H389" s="4"/>
      <c r="I389" s="4"/>
      <c r="J389" s="4"/>
      <c r="K389" s="4"/>
      <c r="L389" s="4"/>
      <c r="M389" s="7"/>
      <c r="N389" s="7"/>
      <c r="O389" s="4"/>
      <c r="P389" s="4"/>
      <c r="Q389" s="4"/>
      <c r="R389" s="4"/>
      <c r="S389" s="16">
        <v>0.95222703753706761</v>
      </c>
    </row>
    <row r="390" spans="4:19" x14ac:dyDescent="0.25">
      <c r="D390" s="38">
        <v>0.80127088486854203</v>
      </c>
      <c r="E390" s="4"/>
      <c r="F390" s="4"/>
      <c r="G390" s="4"/>
      <c r="H390" s="4"/>
      <c r="I390" s="4"/>
      <c r="J390" s="4"/>
      <c r="K390" s="4"/>
      <c r="L390" s="4"/>
      <c r="M390" s="7"/>
      <c r="N390" s="7"/>
      <c r="O390" s="4"/>
      <c r="P390" s="4"/>
      <c r="Q390" s="4"/>
      <c r="R390" s="4"/>
      <c r="S390" s="16">
        <v>0.90456124028720508</v>
      </c>
    </row>
    <row r="391" spans="4:19" x14ac:dyDescent="0.25">
      <c r="D391" s="38">
        <v>0.36203127596181472</v>
      </c>
      <c r="E391" s="4"/>
      <c r="F391" s="4"/>
      <c r="G391" s="4"/>
      <c r="H391" s="4"/>
      <c r="I391" s="4"/>
      <c r="J391" s="4"/>
      <c r="K391" s="4"/>
      <c r="L391" s="4"/>
      <c r="M391" s="7"/>
      <c r="N391" s="7"/>
      <c r="O391" s="4"/>
      <c r="P391" s="4"/>
      <c r="Q391" s="4"/>
      <c r="R391" s="4"/>
      <c r="S391" s="16">
        <v>0.31468395333275179</v>
      </c>
    </row>
    <row r="392" spans="4:19" x14ac:dyDescent="0.25">
      <c r="D392" s="38">
        <v>0.13194876726726268</v>
      </c>
      <c r="E392" s="4"/>
      <c r="F392" s="4"/>
      <c r="G392" s="4"/>
      <c r="H392" s="4"/>
      <c r="I392" s="4"/>
      <c r="J392" s="4"/>
      <c r="K392" s="4"/>
      <c r="L392" s="4"/>
      <c r="M392" s="7"/>
      <c r="N392" s="7"/>
      <c r="O392" s="4"/>
      <c r="P392" s="4"/>
      <c r="Q392" s="4"/>
      <c r="R392" s="4"/>
      <c r="S392" s="16">
        <v>0.63307518962472331</v>
      </c>
    </row>
    <row r="393" spans="4:19" x14ac:dyDescent="0.25">
      <c r="D393" s="38">
        <v>1.6455452068584453E-3</v>
      </c>
      <c r="E393" s="4"/>
      <c r="F393" s="4"/>
      <c r="G393" s="4"/>
      <c r="H393" s="4"/>
      <c r="I393" s="4"/>
      <c r="J393" s="4"/>
      <c r="K393" s="4"/>
      <c r="L393" s="4"/>
      <c r="M393" s="7"/>
      <c r="N393" s="7"/>
      <c r="O393" s="4"/>
      <c r="P393" s="4"/>
      <c r="Q393" s="4"/>
      <c r="R393" s="4"/>
      <c r="S393" s="16">
        <v>0.59594519230794929</v>
      </c>
    </row>
    <row r="394" spans="4:19" x14ac:dyDescent="0.25">
      <c r="D394" s="38">
        <v>9.2429564716004831E-2</v>
      </c>
      <c r="E394" s="4"/>
      <c r="F394" s="4"/>
      <c r="G394" s="4"/>
      <c r="H394" s="4"/>
      <c r="I394" s="4"/>
      <c r="J394" s="4"/>
      <c r="K394" s="4"/>
      <c r="L394" s="4"/>
      <c r="M394" s="7"/>
      <c r="N394" s="7"/>
      <c r="O394" s="4"/>
      <c r="P394" s="4"/>
      <c r="Q394" s="4"/>
      <c r="R394" s="4"/>
      <c r="S394" s="16">
        <v>0.37620472979610142</v>
      </c>
    </row>
    <row r="395" spans="4:19" x14ac:dyDescent="0.25">
      <c r="D395" s="38">
        <v>0.81939083470589191</v>
      </c>
      <c r="E395" s="4"/>
      <c r="F395" s="4"/>
      <c r="G395" s="4"/>
      <c r="H395" s="4"/>
      <c r="I395" s="4"/>
      <c r="J395" s="4"/>
      <c r="K395" s="4"/>
      <c r="L395" s="4"/>
      <c r="M395" s="7"/>
      <c r="N395" s="7"/>
      <c r="O395" s="4"/>
      <c r="P395" s="4"/>
      <c r="Q395" s="4"/>
      <c r="R395" s="4"/>
      <c r="S395" s="16">
        <v>0.53885031850792153</v>
      </c>
    </row>
    <row r="396" spans="4:19" x14ac:dyDescent="0.25">
      <c r="D396" s="38">
        <v>0.65189228600386839</v>
      </c>
      <c r="E396" s="4"/>
      <c r="F396" s="4"/>
      <c r="G396" s="4"/>
      <c r="H396" s="4"/>
      <c r="I396" s="4"/>
      <c r="J396" s="4"/>
      <c r="K396" s="4"/>
      <c r="L396" s="4"/>
      <c r="M396" s="7"/>
      <c r="N396" s="7"/>
      <c r="O396" s="4"/>
      <c r="P396" s="4"/>
      <c r="Q396" s="4"/>
      <c r="R396" s="4"/>
      <c r="S396" s="16">
        <v>0.31863542025546443</v>
      </c>
    </row>
    <row r="397" spans="4:19" x14ac:dyDescent="0.25">
      <c r="D397" s="38">
        <v>0.33785892932600403</v>
      </c>
      <c r="E397" s="4"/>
      <c r="F397" s="4"/>
      <c r="G397" s="4"/>
      <c r="H397" s="4"/>
      <c r="I397" s="4"/>
      <c r="J397" s="4"/>
      <c r="K397" s="4"/>
      <c r="L397" s="4"/>
      <c r="M397" s="7"/>
      <c r="N397" s="7"/>
      <c r="O397" s="4"/>
      <c r="P397" s="4"/>
      <c r="Q397" s="4"/>
      <c r="R397" s="4"/>
      <c r="S397" s="16">
        <v>0.62650583646963465</v>
      </c>
    </row>
    <row r="398" spans="4:19" x14ac:dyDescent="0.25">
      <c r="D398" s="38">
        <v>0.22645906561245044</v>
      </c>
      <c r="E398" s="4"/>
      <c r="F398" s="4"/>
      <c r="G398" s="4"/>
      <c r="H398" s="4"/>
      <c r="I398" s="4"/>
      <c r="J398" s="4"/>
      <c r="K398" s="4"/>
      <c r="L398" s="4"/>
      <c r="M398" s="7"/>
      <c r="N398" s="7"/>
      <c r="O398" s="4"/>
      <c r="P398" s="4"/>
      <c r="Q398" s="4"/>
      <c r="R398" s="4"/>
      <c r="S398" s="16">
        <v>0.61853691725859328</v>
      </c>
    </row>
    <row r="399" spans="4:19" x14ac:dyDescent="0.25">
      <c r="D399" s="38">
        <v>0.16653591211626328</v>
      </c>
      <c r="E399" s="4"/>
      <c r="F399" s="4"/>
      <c r="G399" s="4"/>
      <c r="H399" s="4"/>
      <c r="I399" s="4"/>
      <c r="J399" s="4"/>
      <c r="K399" s="4"/>
      <c r="L399" s="4"/>
      <c r="M399" s="7"/>
      <c r="N399" s="7"/>
      <c r="O399" s="4"/>
      <c r="P399" s="4"/>
      <c r="Q399" s="4"/>
      <c r="R399" s="4"/>
      <c r="S399" s="16">
        <v>1.0625945683814586E-2</v>
      </c>
    </row>
    <row r="400" spans="4:19" x14ac:dyDescent="0.25">
      <c r="D400" s="38">
        <v>0.59124349301984658</v>
      </c>
      <c r="E400" s="4"/>
      <c r="F400" s="4"/>
      <c r="G400" s="4"/>
      <c r="H400" s="4"/>
      <c r="I400" s="4"/>
      <c r="J400" s="4"/>
      <c r="K400" s="4"/>
      <c r="L400" s="4"/>
      <c r="M400" s="7"/>
      <c r="N400" s="7"/>
      <c r="O400" s="4"/>
      <c r="P400" s="4"/>
      <c r="Q400" s="4"/>
      <c r="R400" s="4"/>
      <c r="S400" s="16">
        <v>0.86659958586810326</v>
      </c>
    </row>
    <row r="401" spans="4:19" x14ac:dyDescent="0.25">
      <c r="D401" s="38">
        <v>0.46226839848052426</v>
      </c>
      <c r="E401" s="4"/>
      <c r="F401" s="4"/>
      <c r="G401" s="4"/>
      <c r="H401" s="4"/>
      <c r="I401" s="4"/>
      <c r="J401" s="4"/>
      <c r="K401" s="4"/>
      <c r="L401" s="4"/>
      <c r="M401" s="7"/>
      <c r="N401" s="7"/>
      <c r="O401" s="4"/>
      <c r="P401" s="4"/>
      <c r="Q401" s="4"/>
      <c r="R401" s="4"/>
      <c r="S401" s="16">
        <v>0.68302153556482303</v>
      </c>
    </row>
    <row r="402" spans="4:19" x14ac:dyDescent="0.25">
      <c r="D402" s="38">
        <v>0.47726371315386051</v>
      </c>
      <c r="E402" s="4"/>
      <c r="F402" s="4"/>
      <c r="G402" s="4"/>
      <c r="H402" s="4"/>
      <c r="I402" s="4"/>
      <c r="J402" s="4"/>
      <c r="K402" s="4"/>
      <c r="L402" s="4"/>
      <c r="M402" s="7"/>
      <c r="N402" s="7"/>
      <c r="O402" s="4"/>
      <c r="P402" s="4"/>
      <c r="Q402" s="4"/>
      <c r="R402" s="4"/>
      <c r="S402" s="16">
        <v>0.11077260941415201</v>
      </c>
    </row>
    <row r="403" spans="4:19" x14ac:dyDescent="0.25">
      <c r="D403" s="38">
        <v>0.26027655558246943</v>
      </c>
      <c r="E403" s="4"/>
      <c r="F403" s="4"/>
      <c r="G403" s="4"/>
      <c r="H403" s="4"/>
      <c r="I403" s="4"/>
      <c r="J403" s="4"/>
      <c r="K403" s="4"/>
      <c r="L403" s="4"/>
      <c r="M403" s="7"/>
      <c r="N403" s="7"/>
      <c r="O403" s="4"/>
      <c r="P403" s="4"/>
      <c r="Q403" s="4"/>
      <c r="R403" s="4"/>
      <c r="S403" s="16">
        <v>0.23518082853526023</v>
      </c>
    </row>
    <row r="404" spans="4:19" x14ac:dyDescent="0.25">
      <c r="D404" s="38">
        <v>0.19017088069073929</v>
      </c>
      <c r="E404" s="4"/>
      <c r="F404" s="4"/>
      <c r="G404" s="4"/>
      <c r="H404" s="4"/>
      <c r="I404" s="4"/>
      <c r="J404" s="4"/>
      <c r="K404" s="4"/>
      <c r="L404" s="4"/>
      <c r="M404" s="7"/>
      <c r="N404" s="7"/>
      <c r="O404" s="4"/>
      <c r="P404" s="4"/>
      <c r="Q404" s="4"/>
      <c r="R404" s="4"/>
      <c r="S404" s="16">
        <v>0.76909694254609062</v>
      </c>
    </row>
    <row r="405" spans="4:19" x14ac:dyDescent="0.25">
      <c r="D405" s="38">
        <v>8.9427094359397663E-2</v>
      </c>
      <c r="E405" s="4"/>
      <c r="F405" s="4"/>
      <c r="G405" s="4"/>
      <c r="H405" s="4"/>
      <c r="I405" s="4"/>
      <c r="J405" s="4"/>
      <c r="K405" s="4"/>
      <c r="L405" s="4"/>
      <c r="M405" s="7"/>
      <c r="N405" s="7"/>
      <c r="O405" s="4"/>
      <c r="P405" s="4"/>
      <c r="Q405" s="4"/>
      <c r="R405" s="4"/>
      <c r="S405" s="16">
        <v>0.8477958917092856</v>
      </c>
    </row>
    <row r="406" spans="4:19" x14ac:dyDescent="0.25">
      <c r="D406" s="38">
        <v>0.53006689456353207</v>
      </c>
      <c r="E406" s="4"/>
      <c r="F406" s="4"/>
      <c r="G406" s="4"/>
      <c r="H406" s="4"/>
      <c r="I406" s="4"/>
      <c r="J406" s="4"/>
      <c r="K406" s="4"/>
      <c r="L406" s="4"/>
      <c r="M406" s="7"/>
      <c r="N406" s="7"/>
      <c r="O406" s="4"/>
      <c r="P406" s="4"/>
      <c r="Q406" s="4"/>
      <c r="R406" s="4"/>
      <c r="S406" s="16">
        <v>0.87729277000166195</v>
      </c>
    </row>
    <row r="407" spans="4:19" x14ac:dyDescent="0.25">
      <c r="D407" s="38">
        <v>0.76175114845230674</v>
      </c>
      <c r="E407" s="4"/>
      <c r="F407" s="4"/>
      <c r="G407" s="4"/>
      <c r="H407" s="4"/>
      <c r="I407" s="4"/>
      <c r="J407" s="4"/>
      <c r="K407" s="4"/>
      <c r="L407" s="4"/>
      <c r="M407" s="7"/>
      <c r="N407" s="7"/>
      <c r="O407" s="4"/>
      <c r="P407" s="4"/>
      <c r="Q407" s="4"/>
      <c r="R407" s="4"/>
      <c r="S407" s="16">
        <v>0.94229588944722398</v>
      </c>
    </row>
    <row r="408" spans="4:19" x14ac:dyDescent="0.25">
      <c r="D408" s="38">
        <v>0.71873435216815584</v>
      </c>
      <c r="E408" s="4"/>
      <c r="F408" s="4"/>
      <c r="G408" s="4"/>
      <c r="H408" s="4"/>
      <c r="I408" s="4"/>
      <c r="J408" s="4"/>
      <c r="K408" s="4"/>
      <c r="L408" s="4"/>
      <c r="M408" s="7"/>
      <c r="N408" s="7"/>
      <c r="O408" s="4"/>
      <c r="P408" s="4"/>
      <c r="Q408" s="4"/>
      <c r="R408" s="4"/>
      <c r="S408" s="16">
        <v>0.91388715424142042</v>
      </c>
    </row>
    <row r="409" spans="4:19" x14ac:dyDescent="0.25">
      <c r="D409" s="38">
        <v>0.25369909429120674</v>
      </c>
      <c r="E409" s="4"/>
      <c r="F409" s="4"/>
      <c r="G409" s="4"/>
      <c r="H409" s="4"/>
      <c r="I409" s="4"/>
      <c r="J409" s="4"/>
      <c r="K409" s="4"/>
      <c r="L409" s="4"/>
      <c r="M409" s="7"/>
      <c r="N409" s="7"/>
      <c r="O409" s="4"/>
      <c r="P409" s="4"/>
      <c r="Q409" s="4"/>
      <c r="R409" s="4"/>
      <c r="S409" s="16">
        <v>0.91852129668063121</v>
      </c>
    </row>
    <row r="410" spans="4:19" x14ac:dyDescent="0.25">
      <c r="D410" s="38">
        <v>0.89927695761262094</v>
      </c>
      <c r="E410" s="4"/>
      <c r="F410" s="4"/>
      <c r="G410" s="4"/>
      <c r="H410" s="4"/>
      <c r="I410" s="4"/>
      <c r="J410" s="4"/>
      <c r="K410" s="4"/>
      <c r="L410" s="4"/>
      <c r="M410" s="7"/>
      <c r="N410" s="7"/>
      <c r="O410" s="4"/>
      <c r="P410" s="4"/>
      <c r="Q410" s="4"/>
      <c r="R410" s="4"/>
      <c r="S410" s="16">
        <v>0.82020674611301925</v>
      </c>
    </row>
    <row r="411" spans="4:19" x14ac:dyDescent="0.25">
      <c r="D411" s="38">
        <v>0.21512498040263528</v>
      </c>
      <c r="E411" s="4"/>
      <c r="F411" s="4"/>
      <c r="G411" s="4"/>
      <c r="H411" s="4"/>
      <c r="I411" s="4"/>
      <c r="J411" s="4"/>
      <c r="K411" s="4"/>
      <c r="L411" s="4"/>
      <c r="M411" s="7"/>
      <c r="N411" s="7"/>
      <c r="O411" s="4"/>
      <c r="P411" s="4"/>
      <c r="Q411" s="4"/>
      <c r="R411" s="4"/>
      <c r="S411" s="16">
        <v>0.528128029680491</v>
      </c>
    </row>
    <row r="412" spans="4:19" x14ac:dyDescent="0.25">
      <c r="D412" s="38">
        <v>0.30401966129001634</v>
      </c>
      <c r="E412" s="4"/>
      <c r="F412" s="4"/>
      <c r="G412" s="4"/>
      <c r="H412" s="4"/>
      <c r="I412" s="4"/>
      <c r="J412" s="4"/>
      <c r="K412" s="4"/>
      <c r="L412" s="4"/>
      <c r="M412" s="7"/>
      <c r="N412" s="7"/>
      <c r="O412" s="4"/>
      <c r="P412" s="4"/>
      <c r="Q412" s="4"/>
      <c r="R412" s="4"/>
      <c r="S412" s="16">
        <v>0.76745240392560821</v>
      </c>
    </row>
    <row r="413" spans="4:19" x14ac:dyDescent="0.25">
      <c r="D413" s="38">
        <v>0.29971735034688407</v>
      </c>
      <c r="E413" s="4"/>
      <c r="F413" s="4"/>
      <c r="G413" s="4"/>
      <c r="H413" s="4"/>
      <c r="I413" s="4"/>
      <c r="J413" s="4"/>
      <c r="K413" s="4"/>
      <c r="L413" s="4"/>
      <c r="M413" s="7"/>
      <c r="N413" s="7"/>
      <c r="O413" s="4"/>
      <c r="P413" s="4"/>
      <c r="Q413" s="4"/>
      <c r="R413" s="4"/>
      <c r="S413" s="16">
        <v>0.17375008361607336</v>
      </c>
    </row>
    <row r="414" spans="4:19" x14ac:dyDescent="0.25">
      <c r="D414" s="38">
        <v>5.6197267217764746E-2</v>
      </c>
      <c r="E414" s="4"/>
      <c r="F414" s="4"/>
      <c r="G414" s="4"/>
      <c r="H414" s="4"/>
      <c r="I414" s="4"/>
      <c r="J414" s="4"/>
      <c r="K414" s="4"/>
      <c r="L414" s="4"/>
      <c r="M414" s="7"/>
      <c r="N414" s="7"/>
      <c r="O414" s="4"/>
      <c r="P414" s="4"/>
      <c r="Q414" s="4"/>
      <c r="R414" s="4"/>
      <c r="S414" s="16">
        <v>9.4394531202552256E-2</v>
      </c>
    </row>
    <row r="415" spans="4:19" x14ac:dyDescent="0.25">
      <c r="D415" s="38">
        <v>0.61723974673625603</v>
      </c>
      <c r="E415" s="4"/>
      <c r="F415" s="4"/>
      <c r="G415" s="4"/>
      <c r="H415" s="4"/>
      <c r="I415" s="4"/>
      <c r="J415" s="4"/>
      <c r="K415" s="4"/>
      <c r="L415" s="4"/>
      <c r="M415" s="7"/>
      <c r="N415" s="7"/>
      <c r="O415" s="4"/>
      <c r="P415" s="4"/>
      <c r="Q415" s="4"/>
      <c r="R415" s="4"/>
      <c r="S415" s="16">
        <v>0.68796831138377279</v>
      </c>
    </row>
    <row r="416" spans="4:19" x14ac:dyDescent="0.25">
      <c r="D416" s="38">
        <v>0.77028768259503344</v>
      </c>
      <c r="E416" s="4"/>
      <c r="F416" s="4"/>
      <c r="G416" s="4"/>
      <c r="H416" s="4"/>
      <c r="I416" s="4"/>
      <c r="J416" s="4"/>
      <c r="K416" s="4"/>
      <c r="L416" s="4"/>
      <c r="M416" s="7"/>
      <c r="N416" s="7"/>
      <c r="O416" s="4"/>
      <c r="P416" s="4"/>
      <c r="Q416" s="4"/>
      <c r="R416" s="4"/>
      <c r="S416" s="16">
        <v>0.25171103973632492</v>
      </c>
    </row>
    <row r="417" spans="4:19" x14ac:dyDescent="0.25">
      <c r="D417" s="38">
        <v>0.24141991753771308</v>
      </c>
      <c r="E417" s="4"/>
      <c r="F417" s="4"/>
      <c r="G417" s="4"/>
      <c r="H417" s="4"/>
      <c r="I417" s="4"/>
      <c r="J417" s="4"/>
      <c r="K417" s="4"/>
      <c r="L417" s="4"/>
      <c r="M417" s="7"/>
      <c r="N417" s="7"/>
      <c r="O417" s="4"/>
      <c r="P417" s="4"/>
      <c r="Q417" s="4"/>
      <c r="R417" s="4"/>
      <c r="S417" s="16">
        <v>0.45560468731533343</v>
      </c>
    </row>
    <row r="418" spans="4:19" x14ac:dyDescent="0.25">
      <c r="D418" s="38">
        <v>0.43850074546422813</v>
      </c>
      <c r="E418" s="4"/>
      <c r="F418" s="4"/>
      <c r="G418" s="4"/>
      <c r="H418" s="4"/>
      <c r="I418" s="4"/>
      <c r="J418" s="4"/>
      <c r="K418" s="4"/>
      <c r="L418" s="4"/>
      <c r="M418" s="7"/>
      <c r="N418" s="7"/>
      <c r="O418" s="4"/>
      <c r="P418" s="4"/>
      <c r="Q418" s="4"/>
      <c r="R418" s="4"/>
      <c r="S418" s="16">
        <v>0.10467191183893099</v>
      </c>
    </row>
    <row r="419" spans="4:19" x14ac:dyDescent="0.25">
      <c r="D419" s="38">
        <v>0.30570740817131403</v>
      </c>
      <c r="E419" s="4"/>
      <c r="F419" s="4"/>
      <c r="G419" s="4"/>
      <c r="H419" s="4"/>
      <c r="I419" s="4"/>
      <c r="J419" s="4"/>
      <c r="K419" s="4"/>
      <c r="L419" s="4"/>
      <c r="M419" s="7"/>
      <c r="N419" s="7"/>
      <c r="O419" s="4"/>
      <c r="P419" s="4"/>
      <c r="Q419" s="4"/>
      <c r="R419" s="4"/>
      <c r="S419" s="16">
        <v>0.82071599707476428</v>
      </c>
    </row>
    <row r="420" spans="4:19" x14ac:dyDescent="0.25">
      <c r="D420" s="38">
        <v>0.21577476085084146</v>
      </c>
      <c r="E420" s="4"/>
      <c r="F420" s="4"/>
      <c r="G420" s="4"/>
      <c r="H420" s="4"/>
      <c r="I420" s="4"/>
      <c r="J420" s="4"/>
      <c r="K420" s="4"/>
      <c r="L420" s="4"/>
      <c r="M420" s="7"/>
      <c r="N420" s="7"/>
      <c r="O420" s="4"/>
      <c r="P420" s="4"/>
      <c r="Q420" s="4"/>
      <c r="R420" s="4"/>
      <c r="S420" s="16">
        <v>0.80510905481205708</v>
      </c>
    </row>
    <row r="421" spans="4:19" x14ac:dyDescent="0.25">
      <c r="D421" s="38">
        <v>0.64529547441521862</v>
      </c>
      <c r="E421" s="4"/>
      <c r="F421" s="4"/>
      <c r="G421" s="4"/>
      <c r="H421" s="4"/>
      <c r="I421" s="4"/>
      <c r="J421" s="4"/>
      <c r="K421" s="4"/>
      <c r="L421" s="4"/>
      <c r="M421" s="7"/>
      <c r="N421" s="7"/>
      <c r="O421" s="4"/>
      <c r="P421" s="4"/>
      <c r="Q421" s="4"/>
      <c r="R421" s="4"/>
      <c r="S421" s="16">
        <v>0.64984104451316371</v>
      </c>
    </row>
    <row r="422" spans="4:19" x14ac:dyDescent="0.25">
      <c r="D422" s="38">
        <v>0.10641814627868817</v>
      </c>
      <c r="E422" s="4"/>
      <c r="F422" s="4"/>
      <c r="G422" s="4"/>
      <c r="H422" s="4"/>
      <c r="I422" s="4"/>
      <c r="J422" s="4"/>
      <c r="K422" s="4"/>
      <c r="L422" s="4"/>
      <c r="M422" s="7"/>
      <c r="N422" s="7"/>
      <c r="O422" s="4"/>
      <c r="P422" s="4"/>
      <c r="Q422" s="4"/>
      <c r="R422" s="4"/>
      <c r="S422" s="16">
        <v>0.18690019482135289</v>
      </c>
    </row>
    <row r="423" spans="4:19" x14ac:dyDescent="0.25">
      <c r="D423" s="38">
        <v>2.492314702217957E-2</v>
      </c>
      <c r="E423" s="4"/>
      <c r="F423" s="4"/>
      <c r="G423" s="4"/>
      <c r="H423" s="4"/>
      <c r="I423" s="4"/>
      <c r="J423" s="4"/>
      <c r="K423" s="4"/>
      <c r="L423" s="4"/>
      <c r="M423" s="7"/>
      <c r="N423" s="7"/>
      <c r="O423" s="4"/>
      <c r="P423" s="4"/>
      <c r="Q423" s="4"/>
      <c r="R423" s="4"/>
      <c r="S423" s="16">
        <v>0.66978565188986339</v>
      </c>
    </row>
    <row r="424" spans="4:19" x14ac:dyDescent="0.25">
      <c r="D424" s="38">
        <v>0.95767377828766298</v>
      </c>
      <c r="E424" s="4"/>
      <c r="F424" s="4"/>
      <c r="G424" s="4"/>
      <c r="H424" s="4"/>
      <c r="I424" s="4"/>
      <c r="J424" s="4"/>
      <c r="K424" s="4"/>
      <c r="L424" s="4"/>
      <c r="M424" s="7"/>
      <c r="N424" s="7"/>
      <c r="O424" s="4"/>
      <c r="P424" s="4"/>
      <c r="Q424" s="4"/>
      <c r="R424" s="4"/>
      <c r="S424" s="16">
        <v>0.20510544457730295</v>
      </c>
    </row>
    <row r="425" spans="4:19" x14ac:dyDescent="0.25">
      <c r="D425" s="38">
        <v>0.98935302201959874</v>
      </c>
      <c r="E425" s="4"/>
      <c r="F425" s="4"/>
      <c r="G425" s="4"/>
      <c r="H425" s="4"/>
      <c r="I425" s="4"/>
      <c r="J425" s="4"/>
      <c r="K425" s="4"/>
      <c r="L425" s="4"/>
      <c r="M425" s="7"/>
      <c r="N425" s="7"/>
      <c r="O425" s="4"/>
      <c r="P425" s="4"/>
      <c r="Q425" s="4"/>
      <c r="R425" s="4"/>
      <c r="S425" s="16">
        <v>0.14499999364660321</v>
      </c>
    </row>
    <row r="426" spans="4:19" x14ac:dyDescent="0.25">
      <c r="D426" s="38">
        <v>8.1550678385814757E-2</v>
      </c>
      <c r="E426" s="4"/>
      <c r="F426" s="4"/>
      <c r="G426" s="4"/>
      <c r="H426" s="4"/>
      <c r="I426" s="4"/>
      <c r="J426" s="4"/>
      <c r="K426" s="4"/>
      <c r="L426" s="4"/>
      <c r="M426" s="7"/>
      <c r="N426" s="7"/>
      <c r="O426" s="4"/>
      <c r="P426" s="4"/>
      <c r="Q426" s="4"/>
      <c r="R426" s="4"/>
      <c r="S426" s="16">
        <v>0.54353269679633298</v>
      </c>
    </row>
    <row r="427" spans="4:19" x14ac:dyDescent="0.25">
      <c r="D427" s="38">
        <v>0.9781864430372158</v>
      </c>
      <c r="E427" s="4"/>
      <c r="F427" s="4"/>
      <c r="G427" s="4"/>
      <c r="H427" s="4"/>
      <c r="I427" s="4"/>
      <c r="J427" s="4"/>
      <c r="K427" s="4"/>
      <c r="L427" s="4"/>
      <c r="M427" s="7"/>
      <c r="N427" s="7"/>
      <c r="O427" s="4"/>
      <c r="P427" s="4"/>
      <c r="Q427" s="4"/>
      <c r="R427" s="4"/>
      <c r="S427" s="16">
        <v>0.19581310785830341</v>
      </c>
    </row>
    <row r="428" spans="4:19" x14ac:dyDescent="0.25">
      <c r="D428" s="38">
        <v>0.68309717185803143</v>
      </c>
      <c r="E428" s="4"/>
      <c r="F428" s="4"/>
      <c r="G428" s="4"/>
      <c r="H428" s="4"/>
      <c r="I428" s="4"/>
      <c r="J428" s="4"/>
      <c r="K428" s="4"/>
      <c r="L428" s="4"/>
      <c r="M428" s="7"/>
      <c r="N428" s="7"/>
      <c r="O428" s="4"/>
      <c r="P428" s="4"/>
      <c r="Q428" s="4"/>
      <c r="R428" s="4"/>
      <c r="S428" s="16">
        <v>0.54963217472775738</v>
      </c>
    </row>
    <row r="429" spans="4:19" x14ac:dyDescent="0.25">
      <c r="D429" s="38">
        <v>0.31977245381917241</v>
      </c>
      <c r="E429" s="4"/>
      <c r="F429" s="4"/>
      <c r="G429" s="4"/>
      <c r="H429" s="4"/>
      <c r="I429" s="4"/>
      <c r="J429" s="4"/>
      <c r="K429" s="4"/>
      <c r="L429" s="4"/>
      <c r="M429" s="7"/>
      <c r="N429" s="7"/>
      <c r="O429" s="4"/>
      <c r="P429" s="4"/>
      <c r="Q429" s="4"/>
      <c r="R429" s="4"/>
      <c r="S429" s="16">
        <v>0.41364312228985367</v>
      </c>
    </row>
    <row r="430" spans="4:19" x14ac:dyDescent="0.25">
      <c r="D430" s="38">
        <v>0.98333969775335772</v>
      </c>
      <c r="E430" s="4"/>
      <c r="F430" s="4"/>
      <c r="G430" s="4"/>
      <c r="H430" s="4"/>
      <c r="I430" s="4"/>
      <c r="J430" s="4"/>
      <c r="K430" s="4"/>
      <c r="L430" s="4"/>
      <c r="M430" s="7"/>
      <c r="N430" s="7"/>
      <c r="O430" s="4"/>
      <c r="P430" s="4"/>
      <c r="Q430" s="4"/>
      <c r="R430" s="4"/>
      <c r="S430" s="16">
        <v>0.16710497654395184</v>
      </c>
    </row>
    <row r="431" spans="4:19" x14ac:dyDescent="0.25">
      <c r="D431" s="38">
        <v>0.57661250612076642</v>
      </c>
      <c r="E431" s="4"/>
      <c r="F431" s="4"/>
      <c r="G431" s="4"/>
      <c r="H431" s="4"/>
      <c r="I431" s="4"/>
      <c r="J431" s="4"/>
      <c r="K431" s="4"/>
      <c r="L431" s="4"/>
      <c r="M431" s="7"/>
      <c r="N431" s="7"/>
      <c r="O431" s="4"/>
      <c r="P431" s="4"/>
      <c r="Q431" s="4"/>
      <c r="R431" s="4"/>
      <c r="S431" s="16">
        <v>0.28199123098256285</v>
      </c>
    </row>
    <row r="432" spans="4:19" x14ac:dyDescent="0.25">
      <c r="D432" s="38">
        <v>0.10711626202807289</v>
      </c>
      <c r="E432" s="4"/>
      <c r="F432" s="4"/>
      <c r="G432" s="4"/>
      <c r="H432" s="4"/>
      <c r="I432" s="4"/>
      <c r="J432" s="4"/>
      <c r="K432" s="4"/>
      <c r="L432" s="4"/>
      <c r="M432" s="7"/>
      <c r="N432" s="7"/>
      <c r="O432" s="4"/>
      <c r="P432" s="4"/>
      <c r="Q432" s="4"/>
      <c r="R432" s="4"/>
      <c r="S432" s="16">
        <v>0.31174322709287694</v>
      </c>
    </row>
    <row r="433" spans="4:19" x14ac:dyDescent="0.25">
      <c r="D433" s="38">
        <v>0.52587006261027069</v>
      </c>
      <c r="E433" s="4"/>
      <c r="F433" s="4"/>
      <c r="G433" s="4"/>
      <c r="H433" s="4"/>
      <c r="I433" s="4"/>
      <c r="J433" s="4"/>
      <c r="K433" s="4"/>
      <c r="L433" s="4"/>
      <c r="M433" s="7"/>
      <c r="N433" s="7"/>
      <c r="O433" s="4"/>
      <c r="P433" s="4"/>
      <c r="Q433" s="4"/>
      <c r="R433" s="4"/>
      <c r="S433" s="16">
        <v>5.4823958546349139E-2</v>
      </c>
    </row>
    <row r="434" spans="4:19" x14ac:dyDescent="0.25">
      <c r="D434" s="38">
        <v>0.95269096918553842</v>
      </c>
      <c r="E434" s="4"/>
      <c r="F434" s="4"/>
      <c r="G434" s="4"/>
      <c r="H434" s="4"/>
      <c r="I434" s="4"/>
      <c r="J434" s="4"/>
      <c r="K434" s="4"/>
      <c r="L434" s="4"/>
      <c r="M434" s="7"/>
      <c r="N434" s="7"/>
      <c r="O434" s="4"/>
      <c r="P434" s="4"/>
      <c r="Q434" s="4"/>
      <c r="R434" s="4"/>
      <c r="S434" s="16">
        <v>0.61401734134670383</v>
      </c>
    </row>
    <row r="435" spans="4:19" x14ac:dyDescent="0.25">
      <c r="D435" s="38">
        <v>0.96794644057670209</v>
      </c>
      <c r="E435" s="4"/>
      <c r="F435" s="4"/>
      <c r="G435" s="4"/>
      <c r="H435" s="4"/>
      <c r="I435" s="4"/>
      <c r="J435" s="4"/>
      <c r="K435" s="4"/>
      <c r="L435" s="4"/>
      <c r="M435" s="7"/>
      <c r="N435" s="7"/>
      <c r="O435" s="4"/>
      <c r="P435" s="4"/>
      <c r="Q435" s="4"/>
      <c r="R435" s="4"/>
      <c r="S435" s="16">
        <v>0.97091152236277456</v>
      </c>
    </row>
    <row r="436" spans="4:19" x14ac:dyDescent="0.25">
      <c r="D436" s="38">
        <v>0.71314349852969405</v>
      </c>
      <c r="E436" s="4"/>
      <c r="F436" s="4"/>
      <c r="G436" s="4"/>
      <c r="H436" s="4"/>
      <c r="I436" s="4"/>
      <c r="J436" s="4"/>
      <c r="K436" s="4"/>
      <c r="L436" s="4"/>
      <c r="M436" s="7"/>
      <c r="N436" s="7"/>
      <c r="O436" s="4"/>
      <c r="P436" s="4"/>
      <c r="Q436" s="4"/>
      <c r="R436" s="4"/>
      <c r="S436" s="16">
        <v>0.94971833442444442</v>
      </c>
    </row>
    <row r="437" spans="4:19" x14ac:dyDescent="0.25">
      <c r="D437" s="38">
        <v>0.1513721425553094</v>
      </c>
      <c r="E437" s="4"/>
      <c r="F437" s="4"/>
      <c r="G437" s="4"/>
      <c r="H437" s="4"/>
      <c r="I437" s="4"/>
      <c r="J437" s="4"/>
      <c r="K437" s="4"/>
      <c r="L437" s="4"/>
      <c r="M437" s="7"/>
      <c r="N437" s="7"/>
      <c r="O437" s="4"/>
      <c r="P437" s="4"/>
      <c r="Q437" s="4"/>
      <c r="R437" s="4"/>
      <c r="S437" s="16">
        <v>4.5172210525597389E-2</v>
      </c>
    </row>
    <row r="438" spans="4:19" x14ac:dyDescent="0.25">
      <c r="D438" s="38">
        <v>0.35348342328346127</v>
      </c>
      <c r="E438" s="4"/>
      <c r="F438" s="4"/>
      <c r="G438" s="4"/>
      <c r="H438" s="4"/>
      <c r="I438" s="4"/>
      <c r="J438" s="4"/>
      <c r="K438" s="4"/>
      <c r="L438" s="4"/>
      <c r="M438" s="7"/>
      <c r="N438" s="7"/>
      <c r="O438" s="4"/>
      <c r="P438" s="4"/>
      <c r="Q438" s="4"/>
      <c r="R438" s="4"/>
      <c r="S438" s="16">
        <v>0.34063096565660544</v>
      </c>
    </row>
    <row r="439" spans="4:19" x14ac:dyDescent="0.25">
      <c r="D439" s="38">
        <v>0.37896209786074042</v>
      </c>
      <c r="E439" s="4"/>
      <c r="F439" s="4"/>
      <c r="G439" s="4"/>
      <c r="H439" s="4"/>
      <c r="I439" s="4"/>
      <c r="J439" s="4"/>
      <c r="K439" s="4"/>
      <c r="L439" s="4"/>
      <c r="M439" s="7"/>
      <c r="N439" s="7"/>
      <c r="O439" s="4"/>
      <c r="P439" s="4"/>
      <c r="Q439" s="4"/>
      <c r="R439" s="4"/>
      <c r="S439" s="16">
        <v>0.17477923789601302</v>
      </c>
    </row>
    <row r="440" spans="4:19" x14ac:dyDescent="0.25">
      <c r="D440" s="38">
        <v>0.37659593133203018</v>
      </c>
      <c r="E440" s="4"/>
      <c r="F440" s="4"/>
      <c r="G440" s="4"/>
      <c r="H440" s="4"/>
      <c r="I440" s="4"/>
      <c r="J440" s="4"/>
      <c r="K440" s="4"/>
      <c r="L440" s="4"/>
      <c r="M440" s="7"/>
      <c r="N440" s="7"/>
      <c r="O440" s="4"/>
      <c r="P440" s="4"/>
      <c r="Q440" s="4"/>
      <c r="R440" s="4"/>
      <c r="S440" s="16">
        <v>0.16312395880980435</v>
      </c>
    </row>
    <row r="441" spans="4:19" x14ac:dyDescent="0.25">
      <c r="D441" s="38">
        <v>1.6122926880041244E-2</v>
      </c>
      <c r="E441" s="4"/>
      <c r="F441" s="4"/>
      <c r="G441" s="4"/>
      <c r="H441" s="4"/>
      <c r="I441" s="4"/>
      <c r="J441" s="4"/>
      <c r="K441" s="4"/>
      <c r="L441" s="4"/>
      <c r="M441" s="7"/>
      <c r="N441" s="7"/>
      <c r="O441" s="4"/>
      <c r="P441" s="4"/>
      <c r="Q441" s="4"/>
      <c r="R441" s="4"/>
      <c r="S441" s="16">
        <v>0.46494924601336507</v>
      </c>
    </row>
    <row r="442" spans="4:19" x14ac:dyDescent="0.25">
      <c r="D442" s="38">
        <v>8.9350883912590495E-2</v>
      </c>
      <c r="E442" s="4"/>
      <c r="F442" s="4"/>
      <c r="G442" s="4"/>
      <c r="H442" s="4"/>
      <c r="I442" s="4"/>
      <c r="J442" s="4"/>
      <c r="K442" s="4"/>
      <c r="L442" s="4"/>
      <c r="M442" s="7"/>
      <c r="N442" s="7"/>
      <c r="O442" s="4"/>
      <c r="P442" s="4"/>
      <c r="Q442" s="4"/>
      <c r="R442" s="4"/>
      <c r="S442" s="16">
        <v>0.86754264804882142</v>
      </c>
    </row>
    <row r="443" spans="4:19" x14ac:dyDescent="0.25">
      <c r="D443" s="38">
        <v>0.29025593079587064</v>
      </c>
      <c r="E443" s="4"/>
      <c r="F443" s="4"/>
      <c r="G443" s="4"/>
      <c r="H443" s="4"/>
      <c r="I443" s="4"/>
      <c r="J443" s="4"/>
      <c r="K443" s="4"/>
      <c r="L443" s="4"/>
      <c r="M443" s="7"/>
      <c r="N443" s="7"/>
      <c r="O443" s="4"/>
      <c r="P443" s="4"/>
      <c r="Q443" s="4"/>
      <c r="R443" s="4"/>
      <c r="S443" s="16">
        <v>0.43641927420521132</v>
      </c>
    </row>
    <row r="444" spans="4:19" x14ac:dyDescent="0.25">
      <c r="D444" s="38">
        <v>0.87732364618434211</v>
      </c>
      <c r="E444" s="4"/>
      <c r="F444" s="4"/>
      <c r="G444" s="4"/>
      <c r="H444" s="4"/>
      <c r="I444" s="4"/>
      <c r="J444" s="4"/>
      <c r="K444" s="4"/>
      <c r="L444" s="4"/>
      <c r="M444" s="7"/>
      <c r="N444" s="7"/>
      <c r="O444" s="4"/>
      <c r="P444" s="4"/>
      <c r="Q444" s="4"/>
      <c r="R444" s="4"/>
      <c r="S444" s="16">
        <v>0.42878122930545515</v>
      </c>
    </row>
    <row r="445" spans="4:19" x14ac:dyDescent="0.25">
      <c r="D445" s="38">
        <v>0.45608305409434358</v>
      </c>
      <c r="E445" s="4"/>
      <c r="F445" s="4"/>
      <c r="G445" s="4"/>
      <c r="H445" s="4"/>
      <c r="I445" s="4"/>
      <c r="J445" s="4"/>
      <c r="K445" s="4"/>
      <c r="L445" s="4"/>
      <c r="M445" s="7"/>
      <c r="N445" s="7"/>
      <c r="O445" s="4"/>
      <c r="P445" s="4"/>
      <c r="Q445" s="4"/>
      <c r="R445" s="4"/>
      <c r="S445" s="16">
        <v>0.42654735739347649</v>
      </c>
    </row>
    <row r="446" spans="4:19" x14ac:dyDescent="0.25">
      <c r="D446" s="38">
        <v>0.34343055995564697</v>
      </c>
      <c r="E446" s="4"/>
      <c r="F446" s="4"/>
      <c r="G446" s="4"/>
      <c r="H446" s="4"/>
      <c r="I446" s="4"/>
      <c r="J446" s="4"/>
      <c r="K446" s="4"/>
      <c r="L446" s="4"/>
      <c r="M446" s="7"/>
      <c r="N446" s="7"/>
      <c r="O446" s="4"/>
      <c r="P446" s="4"/>
      <c r="Q446" s="4"/>
      <c r="R446" s="4"/>
      <c r="S446" s="16">
        <v>0.79436143807061887</v>
      </c>
    </row>
    <row r="447" spans="4:19" x14ac:dyDescent="0.25">
      <c r="D447" s="38">
        <v>0.82275223519275531</v>
      </c>
      <c r="E447" s="4"/>
      <c r="F447" s="4"/>
      <c r="G447" s="4"/>
      <c r="H447" s="4"/>
      <c r="I447" s="4"/>
      <c r="J447" s="4"/>
      <c r="K447" s="4"/>
      <c r="L447" s="4"/>
      <c r="M447" s="7"/>
      <c r="N447" s="7"/>
      <c r="O447" s="4"/>
      <c r="P447" s="4"/>
      <c r="Q447" s="4"/>
      <c r="R447" s="4"/>
      <c r="S447" s="16">
        <v>0.68822370257293397</v>
      </c>
    </row>
    <row r="448" spans="4:19" x14ac:dyDescent="0.25">
      <c r="D448" s="38">
        <v>0.88363090509169806</v>
      </c>
      <c r="E448" s="4"/>
      <c r="F448" s="4"/>
      <c r="G448" s="4"/>
      <c r="H448" s="4"/>
      <c r="I448" s="4"/>
      <c r="J448" s="4"/>
      <c r="K448" s="4"/>
      <c r="L448" s="4"/>
      <c r="M448" s="7"/>
      <c r="N448" s="7"/>
      <c r="O448" s="4"/>
      <c r="P448" s="4"/>
      <c r="Q448" s="4"/>
      <c r="R448" s="4"/>
      <c r="S448" s="16">
        <v>0.6475451068518524</v>
      </c>
    </row>
    <row r="449" spans="4:19" x14ac:dyDescent="0.25">
      <c r="D449" s="38">
        <v>0.59716735458649761</v>
      </c>
      <c r="E449" s="4"/>
      <c r="F449" s="4"/>
      <c r="G449" s="4"/>
      <c r="H449" s="4"/>
      <c r="I449" s="4"/>
      <c r="J449" s="4"/>
      <c r="K449" s="4"/>
      <c r="L449" s="4"/>
      <c r="M449" s="7"/>
      <c r="N449" s="7"/>
      <c r="O449" s="4"/>
      <c r="P449" s="4"/>
      <c r="Q449" s="4"/>
      <c r="R449" s="4"/>
      <c r="S449" s="16">
        <v>2.2430034193276049E-2</v>
      </c>
    </row>
    <row r="450" spans="4:19" x14ac:dyDescent="0.25">
      <c r="D450" s="38">
        <v>0.79629709518824987</v>
      </c>
      <c r="E450" s="4"/>
      <c r="F450" s="4"/>
      <c r="G450" s="4"/>
      <c r="H450" s="4"/>
      <c r="I450" s="4"/>
      <c r="J450" s="4"/>
      <c r="K450" s="4"/>
      <c r="L450" s="4"/>
      <c r="M450" s="7"/>
      <c r="N450" s="7"/>
      <c r="O450" s="4"/>
      <c r="P450" s="4"/>
      <c r="Q450" s="4"/>
      <c r="R450" s="4"/>
      <c r="S450" s="16">
        <v>0.73638566186725152</v>
      </c>
    </row>
    <row r="451" spans="4:19" x14ac:dyDescent="0.25">
      <c r="D451" s="38">
        <v>0.17369850162279521</v>
      </c>
      <c r="E451" s="4"/>
      <c r="F451" s="4"/>
      <c r="G451" s="4"/>
      <c r="H451" s="4"/>
      <c r="I451" s="4"/>
      <c r="J451" s="4"/>
      <c r="K451" s="4"/>
      <c r="L451" s="4"/>
      <c r="M451" s="7"/>
      <c r="N451" s="7"/>
      <c r="O451" s="4"/>
      <c r="P451" s="4"/>
      <c r="Q451" s="4"/>
      <c r="R451" s="4"/>
      <c r="S451" s="16">
        <v>9.1805018375627157E-2</v>
      </c>
    </row>
    <row r="452" spans="4:19" x14ac:dyDescent="0.25">
      <c r="D452" s="38">
        <v>0.84307564195645535</v>
      </c>
      <c r="E452" s="4"/>
      <c r="F452" s="4"/>
      <c r="G452" s="4"/>
      <c r="H452" s="4"/>
      <c r="I452" s="4"/>
      <c r="J452" s="4"/>
      <c r="K452" s="4"/>
      <c r="L452" s="4"/>
      <c r="M452" s="7"/>
      <c r="N452" s="7"/>
      <c r="O452" s="4"/>
      <c r="P452" s="4"/>
      <c r="Q452" s="4"/>
      <c r="R452" s="4"/>
      <c r="S452" s="16">
        <v>0.88060264276977873</v>
      </c>
    </row>
    <row r="453" spans="4:19" x14ac:dyDescent="0.25">
      <c r="D453" s="38">
        <v>0.49324915215533027</v>
      </c>
      <c r="E453" s="4"/>
      <c r="F453" s="4"/>
      <c r="G453" s="4"/>
      <c r="H453" s="4"/>
      <c r="I453" s="4"/>
      <c r="J453" s="4"/>
      <c r="K453" s="4"/>
      <c r="L453" s="4"/>
      <c r="M453" s="7"/>
      <c r="N453" s="7"/>
      <c r="O453" s="4"/>
      <c r="P453" s="4"/>
      <c r="Q453" s="4"/>
      <c r="R453" s="4"/>
      <c r="S453" s="16">
        <v>0.34772577991278675</v>
      </c>
    </row>
    <row r="454" spans="4:19" x14ac:dyDescent="0.25">
      <c r="D454" s="38">
        <v>0.86239988686616542</v>
      </c>
      <c r="E454" s="4"/>
      <c r="F454" s="4"/>
      <c r="G454" s="4"/>
      <c r="H454" s="4"/>
      <c r="I454" s="4"/>
      <c r="J454" s="4"/>
      <c r="K454" s="4"/>
      <c r="L454" s="4"/>
      <c r="M454" s="7"/>
      <c r="N454" s="7"/>
      <c r="O454" s="4"/>
      <c r="P454" s="4"/>
      <c r="Q454" s="4"/>
      <c r="R454" s="4"/>
      <c r="S454" s="16">
        <v>0.66075365102613171</v>
      </c>
    </row>
    <row r="455" spans="4:19" x14ac:dyDescent="0.25">
      <c r="D455" s="38">
        <v>0.78119988056951351</v>
      </c>
      <c r="E455" s="4"/>
      <c r="F455" s="4"/>
      <c r="G455" s="4"/>
      <c r="H455" s="4"/>
      <c r="I455" s="4"/>
      <c r="J455" s="4"/>
      <c r="K455" s="4"/>
      <c r="L455" s="4"/>
      <c r="M455" s="7"/>
      <c r="N455" s="7"/>
      <c r="O455" s="4"/>
      <c r="P455" s="4"/>
      <c r="Q455" s="4"/>
      <c r="R455" s="4"/>
      <c r="S455" s="16">
        <v>0.89942767906748289</v>
      </c>
    </row>
    <row r="456" spans="4:19" x14ac:dyDescent="0.25">
      <c r="D456" s="38">
        <v>4.6126066260980703E-2</v>
      </c>
      <c r="E456" s="4"/>
      <c r="F456" s="4"/>
      <c r="G456" s="4"/>
      <c r="H456" s="4"/>
      <c r="I456" s="4"/>
      <c r="J456" s="4"/>
      <c r="K456" s="4"/>
      <c r="L456" s="4"/>
      <c r="M456" s="7"/>
      <c r="N456" s="7"/>
      <c r="O456" s="4"/>
      <c r="P456" s="4"/>
      <c r="Q456" s="4"/>
      <c r="R456" s="4"/>
      <c r="S456" s="16">
        <v>0.85778670965789416</v>
      </c>
    </row>
    <row r="457" spans="4:19" x14ac:dyDescent="0.25">
      <c r="D457" s="38">
        <v>0.1781591769429296</v>
      </c>
      <c r="E457" s="4"/>
      <c r="F457" s="4"/>
      <c r="G457" s="4"/>
      <c r="H457" s="4"/>
      <c r="I457" s="4"/>
      <c r="J457" s="4"/>
      <c r="K457" s="4"/>
      <c r="L457" s="4"/>
      <c r="M457" s="7"/>
      <c r="N457" s="7"/>
      <c r="O457" s="4"/>
      <c r="P457" s="4"/>
      <c r="Q457" s="4"/>
      <c r="R457" s="4"/>
      <c r="S457" s="16">
        <v>0.36798627745031143</v>
      </c>
    </row>
    <row r="458" spans="4:19" x14ac:dyDescent="0.25">
      <c r="D458" s="38">
        <v>0.15026543406999904</v>
      </c>
      <c r="E458" s="4"/>
      <c r="F458" s="4"/>
      <c r="G458" s="4"/>
      <c r="H458" s="4"/>
      <c r="I458" s="4"/>
      <c r="J458" s="4"/>
      <c r="K458" s="4"/>
      <c r="L458" s="4"/>
      <c r="M458" s="7"/>
      <c r="N458" s="7"/>
      <c r="O458" s="4"/>
      <c r="P458" s="4"/>
      <c r="Q458" s="4"/>
      <c r="R458" s="4"/>
      <c r="S458" s="16">
        <v>0.38983781445263666</v>
      </c>
    </row>
    <row r="459" spans="4:19" x14ac:dyDescent="0.25">
      <c r="D459" s="38">
        <v>0.68934731716598296</v>
      </c>
      <c r="E459" s="4"/>
      <c r="F459" s="4"/>
      <c r="G459" s="4"/>
      <c r="H459" s="4"/>
      <c r="I459" s="4"/>
      <c r="J459" s="4"/>
      <c r="K459" s="4"/>
      <c r="L459" s="4"/>
      <c r="M459" s="7"/>
      <c r="N459" s="7"/>
      <c r="O459" s="4"/>
      <c r="P459" s="4"/>
      <c r="Q459" s="4"/>
      <c r="R459" s="4"/>
      <c r="S459" s="16">
        <v>0.17108354674379611</v>
      </c>
    </row>
    <row r="460" spans="4:19" x14ac:dyDescent="0.25">
      <c r="D460" s="38">
        <v>8.8024587795658582E-2</v>
      </c>
      <c r="E460" s="4"/>
      <c r="F460" s="4"/>
      <c r="G460" s="4"/>
      <c r="H460" s="4"/>
      <c r="I460" s="4"/>
      <c r="J460" s="4"/>
      <c r="K460" s="4"/>
      <c r="L460" s="4"/>
      <c r="M460" s="7"/>
      <c r="N460" s="7"/>
      <c r="O460" s="4"/>
      <c r="P460" s="4"/>
      <c r="Q460" s="4"/>
      <c r="R460" s="4"/>
      <c r="S460" s="16">
        <v>0.47296080368945359</v>
      </c>
    </row>
    <row r="461" spans="4:19" x14ac:dyDescent="0.25">
      <c r="D461" s="38">
        <v>0.30468519646345138</v>
      </c>
      <c r="E461" s="4"/>
      <c r="F461" s="4"/>
      <c r="G461" s="4"/>
      <c r="H461" s="4"/>
      <c r="I461" s="4"/>
      <c r="J461" s="4"/>
      <c r="K461" s="4"/>
      <c r="L461" s="4"/>
      <c r="M461" s="7"/>
      <c r="N461" s="7"/>
      <c r="O461" s="4"/>
      <c r="P461" s="4"/>
      <c r="Q461" s="4"/>
      <c r="R461" s="4"/>
      <c r="S461" s="16">
        <v>0.47030611757529717</v>
      </c>
    </row>
    <row r="462" spans="4:19" x14ac:dyDescent="0.25">
      <c r="D462" s="38">
        <v>0.24547446582172117</v>
      </c>
      <c r="E462" s="4"/>
      <c r="F462" s="4"/>
      <c r="G462" s="4"/>
      <c r="H462" s="4"/>
      <c r="I462" s="4"/>
      <c r="J462" s="4"/>
      <c r="K462" s="4"/>
      <c r="L462" s="4"/>
      <c r="M462" s="7"/>
      <c r="N462" s="7"/>
      <c r="O462" s="4"/>
      <c r="P462" s="4"/>
      <c r="Q462" s="4"/>
      <c r="R462" s="4"/>
      <c r="S462" s="16">
        <v>0.34824114193538713</v>
      </c>
    </row>
    <row r="463" spans="4:19" x14ac:dyDescent="0.25">
      <c r="D463" s="38">
        <v>0.74764433535525365</v>
      </c>
      <c r="E463" s="4"/>
      <c r="F463" s="4"/>
      <c r="G463" s="4"/>
      <c r="H463" s="4"/>
      <c r="I463" s="4"/>
      <c r="J463" s="4"/>
      <c r="K463" s="4"/>
      <c r="L463" s="4"/>
      <c r="M463" s="7"/>
      <c r="N463" s="7"/>
      <c r="O463" s="4"/>
      <c r="P463" s="4"/>
      <c r="Q463" s="4"/>
      <c r="R463" s="4"/>
      <c r="S463" s="16">
        <v>0.76658402762507927</v>
      </c>
    </row>
    <row r="464" spans="4:19" x14ac:dyDescent="0.25">
      <c r="D464" s="38">
        <v>0.2543341352084072</v>
      </c>
      <c r="E464" s="4"/>
      <c r="F464" s="4"/>
      <c r="G464" s="4"/>
      <c r="H464" s="4"/>
      <c r="I464" s="4"/>
      <c r="J464" s="4"/>
      <c r="K464" s="4"/>
      <c r="L464" s="4"/>
      <c r="M464" s="7"/>
      <c r="N464" s="7"/>
      <c r="O464" s="4"/>
      <c r="P464" s="4"/>
      <c r="Q464" s="4"/>
      <c r="R464" s="4"/>
      <c r="S464" s="16">
        <v>2.4753452768383144E-2</v>
      </c>
    </row>
    <row r="465" spans="4:19" x14ac:dyDescent="0.25">
      <c r="D465" s="38">
        <v>0.7018640791030637</v>
      </c>
      <c r="E465" s="4"/>
      <c r="F465" s="4"/>
      <c r="G465" s="4"/>
      <c r="H465" s="4"/>
      <c r="I465" s="4"/>
      <c r="J465" s="4"/>
      <c r="K465" s="4"/>
      <c r="L465" s="4"/>
      <c r="M465" s="7"/>
      <c r="N465" s="7"/>
      <c r="O465" s="4"/>
      <c r="P465" s="4"/>
      <c r="Q465" s="4"/>
      <c r="R465" s="4"/>
      <c r="S465" s="16">
        <v>0.64856176576270919</v>
      </c>
    </row>
    <row r="466" spans="4:19" x14ac:dyDescent="0.25">
      <c r="D466" s="38">
        <v>0.36248500755610569</v>
      </c>
      <c r="E466" s="4"/>
      <c r="F466" s="4"/>
      <c r="G466" s="4"/>
      <c r="H466" s="4"/>
      <c r="I466" s="4"/>
      <c r="J466" s="4"/>
      <c r="K466" s="4"/>
      <c r="L466" s="4"/>
      <c r="M466" s="7"/>
      <c r="N466" s="7"/>
      <c r="O466" s="4"/>
      <c r="P466" s="4"/>
      <c r="Q466" s="4"/>
      <c r="R466" s="4"/>
      <c r="S466" s="16">
        <v>0.21306942923118666</v>
      </c>
    </row>
    <row r="467" spans="4:19" x14ac:dyDescent="0.25">
      <c r="D467" s="38">
        <v>0.72681383247782094</v>
      </c>
      <c r="E467" s="4"/>
      <c r="F467" s="4"/>
      <c r="G467" s="4"/>
      <c r="H467" s="4"/>
      <c r="I467" s="4"/>
      <c r="J467" s="4"/>
      <c r="K467" s="4"/>
      <c r="L467" s="4"/>
      <c r="M467" s="7"/>
      <c r="N467" s="7"/>
      <c r="O467" s="4"/>
      <c r="P467" s="4"/>
      <c r="Q467" s="4"/>
      <c r="R467" s="4"/>
      <c r="S467" s="16">
        <v>0.45699250558272952</v>
      </c>
    </row>
    <row r="468" spans="4:19" x14ac:dyDescent="0.25">
      <c r="D468" s="38">
        <v>0.57102413533367657</v>
      </c>
      <c r="E468" s="4"/>
      <c r="F468" s="4"/>
      <c r="G468" s="4"/>
      <c r="H468" s="4"/>
      <c r="I468" s="4"/>
      <c r="J468" s="4"/>
      <c r="K468" s="4"/>
      <c r="L468" s="4"/>
      <c r="M468" s="7"/>
      <c r="N468" s="7"/>
      <c r="O468" s="4"/>
      <c r="P468" s="4"/>
      <c r="Q468" s="4"/>
      <c r="R468" s="4"/>
      <c r="S468" s="16">
        <v>7.7922950636977184E-2</v>
      </c>
    </row>
    <row r="469" spans="4:19" x14ac:dyDescent="0.25">
      <c r="D469" s="38">
        <v>0.40537170754834417</v>
      </c>
      <c r="E469" s="4"/>
      <c r="F469" s="4"/>
      <c r="G469" s="4"/>
      <c r="H469" s="4"/>
      <c r="I469" s="4"/>
      <c r="J469" s="4"/>
      <c r="K469" s="4"/>
      <c r="L469" s="4"/>
      <c r="M469" s="7"/>
      <c r="N469" s="7"/>
      <c r="O469" s="4"/>
      <c r="P469" s="4"/>
      <c r="Q469" s="4"/>
      <c r="R469" s="4"/>
      <c r="S469" s="16">
        <v>0.84163286975579821</v>
      </c>
    </row>
    <row r="470" spans="4:19" x14ac:dyDescent="0.25">
      <c r="D470" s="38">
        <v>0.34681827676548849</v>
      </c>
      <c r="E470" s="4"/>
      <c r="F470" s="4"/>
      <c r="G470" s="4"/>
      <c r="H470" s="4"/>
      <c r="I470" s="4"/>
      <c r="J470" s="4"/>
      <c r="K470" s="4"/>
      <c r="L470" s="4"/>
      <c r="M470" s="7"/>
      <c r="N470" s="7"/>
      <c r="O470" s="4"/>
      <c r="P470" s="4"/>
      <c r="Q470" s="4"/>
      <c r="R470" s="4"/>
      <c r="S470" s="16">
        <v>0.52910877770577758</v>
      </c>
    </row>
    <row r="471" spans="4:19" x14ac:dyDescent="0.25">
      <c r="D471" s="38">
        <v>0.56329455738648038</v>
      </c>
      <c r="E471" s="4"/>
      <c r="F471" s="4"/>
      <c r="G471" s="4"/>
      <c r="H471" s="4"/>
      <c r="I471" s="4"/>
      <c r="J471" s="4"/>
      <c r="K471" s="4"/>
      <c r="L471" s="4"/>
      <c r="M471" s="7"/>
      <c r="N471" s="7"/>
      <c r="O471" s="4"/>
      <c r="P471" s="4"/>
      <c r="Q471" s="4"/>
      <c r="R471" s="4"/>
      <c r="S471" s="16">
        <v>0.53771714060334808</v>
      </c>
    </row>
    <row r="472" spans="4:19" x14ac:dyDescent="0.25">
      <c r="D472" s="38">
        <v>0.99666271674357687</v>
      </c>
      <c r="E472" s="4"/>
      <c r="F472" s="4"/>
      <c r="G472" s="4"/>
      <c r="H472" s="4"/>
      <c r="I472" s="4"/>
      <c r="J472" s="4"/>
      <c r="K472" s="4"/>
      <c r="L472" s="4"/>
      <c r="M472" s="7"/>
      <c r="N472" s="7"/>
      <c r="O472" s="4"/>
      <c r="P472" s="4"/>
      <c r="Q472" s="4"/>
      <c r="R472" s="4"/>
      <c r="S472" s="16">
        <v>0.79132692276012917</v>
      </c>
    </row>
    <row r="473" spans="4:19" x14ac:dyDescent="0.25">
      <c r="D473" s="38">
        <v>0.85464757550220283</v>
      </c>
      <c r="E473" s="4"/>
      <c r="F473" s="4"/>
      <c r="G473" s="4"/>
      <c r="H473" s="4"/>
      <c r="I473" s="4"/>
      <c r="J473" s="4"/>
      <c r="K473" s="4"/>
      <c r="L473" s="4"/>
      <c r="M473" s="7"/>
      <c r="N473" s="7"/>
      <c r="O473" s="4"/>
      <c r="P473" s="4"/>
      <c r="Q473" s="4"/>
      <c r="R473" s="4"/>
      <c r="S473" s="16">
        <v>0.56250961335862815</v>
      </c>
    </row>
    <row r="474" spans="4:19" x14ac:dyDescent="0.25">
      <c r="D474" s="38">
        <v>0.69235801307994616</v>
      </c>
      <c r="E474" s="4"/>
      <c r="F474" s="4"/>
      <c r="G474" s="4"/>
      <c r="H474" s="4"/>
      <c r="I474" s="4"/>
      <c r="J474" s="4"/>
      <c r="K474" s="4"/>
      <c r="L474" s="4"/>
      <c r="M474" s="7"/>
      <c r="N474" s="7"/>
      <c r="O474" s="4"/>
      <c r="P474" s="4"/>
      <c r="Q474" s="4"/>
      <c r="R474" s="4"/>
      <c r="S474" s="16">
        <v>1.4697998567487547E-2</v>
      </c>
    </row>
    <row r="475" spans="4:19" x14ac:dyDescent="0.25">
      <c r="D475" s="38">
        <v>9.3105536246933074E-2</v>
      </c>
      <c r="E475" s="4"/>
      <c r="F475" s="4"/>
      <c r="G475" s="4"/>
      <c r="H475" s="4"/>
      <c r="I475" s="4"/>
      <c r="J475" s="4"/>
      <c r="K475" s="4"/>
      <c r="L475" s="4"/>
      <c r="M475" s="7"/>
      <c r="N475" s="7"/>
      <c r="O475" s="4"/>
      <c r="P475" s="4"/>
      <c r="Q475" s="4"/>
      <c r="R475" s="4"/>
      <c r="S475" s="16">
        <v>0.272927909770592</v>
      </c>
    </row>
    <row r="476" spans="4:19" x14ac:dyDescent="0.25">
      <c r="D476" s="38">
        <v>3.2987322542849529E-2</v>
      </c>
      <c r="E476" s="4"/>
      <c r="F476" s="4"/>
      <c r="G476" s="4"/>
      <c r="H476" s="4"/>
      <c r="I476" s="4"/>
      <c r="J476" s="4"/>
      <c r="K476" s="4"/>
      <c r="L476" s="4"/>
      <c r="M476" s="7"/>
      <c r="N476" s="7"/>
      <c r="O476" s="4"/>
      <c r="P476" s="4"/>
      <c r="Q476" s="4"/>
      <c r="R476" s="4"/>
      <c r="S476" s="16">
        <v>0.66521182348463415</v>
      </c>
    </row>
    <row r="477" spans="4:19" x14ac:dyDescent="0.25">
      <c r="D477" s="38">
        <v>5.1280366884972395E-2</v>
      </c>
      <c r="E477" s="4"/>
      <c r="F477" s="4"/>
      <c r="G477" s="4"/>
      <c r="H477" s="4"/>
      <c r="I477" s="4"/>
      <c r="J477" s="4"/>
      <c r="K477" s="4"/>
      <c r="L477" s="4"/>
      <c r="M477" s="7"/>
      <c r="N477" s="7"/>
      <c r="O477" s="4"/>
      <c r="P477" s="4"/>
      <c r="Q477" s="4"/>
      <c r="R477" s="4"/>
      <c r="S477" s="16">
        <v>0.30954209736101856</v>
      </c>
    </row>
    <row r="478" spans="4:19" x14ac:dyDescent="0.25">
      <c r="D478" s="38">
        <v>0.48085036258802749</v>
      </c>
      <c r="E478" s="4"/>
      <c r="F478" s="4"/>
      <c r="G478" s="4"/>
      <c r="H478" s="4"/>
      <c r="I478" s="4"/>
      <c r="J478" s="4"/>
      <c r="K478" s="4"/>
      <c r="L478" s="4"/>
      <c r="M478" s="7"/>
      <c r="N478" s="7"/>
      <c r="O478" s="4"/>
      <c r="P478" s="4"/>
      <c r="Q478" s="4"/>
      <c r="R478" s="4"/>
      <c r="S478" s="16">
        <v>0.36337235349771035</v>
      </c>
    </row>
    <row r="479" spans="4:19" x14ac:dyDescent="0.25">
      <c r="D479" s="38">
        <v>0.45589109186177634</v>
      </c>
      <c r="E479" s="4"/>
      <c r="F479" s="4"/>
      <c r="G479" s="4"/>
      <c r="H479" s="4"/>
      <c r="I479" s="4"/>
      <c r="J479" s="4"/>
      <c r="K479" s="4"/>
      <c r="L479" s="4"/>
      <c r="M479" s="7"/>
      <c r="N479" s="7"/>
      <c r="O479" s="4"/>
      <c r="P479" s="4"/>
      <c r="Q479" s="4"/>
      <c r="R479" s="4"/>
      <c r="S479" s="16">
        <v>0.32176177510749004</v>
      </c>
    </row>
    <row r="480" spans="4:19" x14ac:dyDescent="0.25">
      <c r="D480" s="38">
        <v>0.32958165649644355</v>
      </c>
      <c r="E480" s="4"/>
      <c r="F480" s="4"/>
      <c r="G480" s="4"/>
      <c r="H480" s="4"/>
      <c r="I480" s="4"/>
      <c r="J480" s="4"/>
      <c r="K480" s="4"/>
      <c r="L480" s="4"/>
      <c r="M480" s="7"/>
      <c r="N480" s="7"/>
      <c r="O480" s="4"/>
      <c r="P480" s="4"/>
      <c r="Q480" s="4"/>
      <c r="R480" s="4"/>
      <c r="S480" s="16">
        <v>0.19264401480914572</v>
      </c>
    </row>
    <row r="481" spans="4:19" x14ac:dyDescent="0.25">
      <c r="D481" s="38">
        <v>0.35779779099529851</v>
      </c>
      <c r="E481" s="4"/>
      <c r="F481" s="4"/>
      <c r="G481" s="4"/>
      <c r="H481" s="4"/>
      <c r="I481" s="4"/>
      <c r="J481" s="4"/>
      <c r="K481" s="4"/>
      <c r="L481" s="4"/>
      <c r="M481" s="7"/>
      <c r="N481" s="7"/>
      <c r="O481" s="4"/>
      <c r="P481" s="4"/>
      <c r="Q481" s="4"/>
      <c r="R481" s="4"/>
      <c r="S481" s="16">
        <v>0.43667818804953196</v>
      </c>
    </row>
    <row r="482" spans="4:19" x14ac:dyDescent="0.25">
      <c r="D482" s="38">
        <v>0.72558010409147256</v>
      </c>
      <c r="E482" s="4"/>
      <c r="F482" s="4"/>
      <c r="G482" s="4"/>
      <c r="H482" s="4"/>
      <c r="I482" s="4"/>
      <c r="J482" s="4"/>
      <c r="K482" s="4"/>
      <c r="L482" s="4"/>
      <c r="M482" s="7"/>
      <c r="N482" s="7"/>
      <c r="O482" s="4"/>
      <c r="P482" s="4"/>
      <c r="Q482" s="4"/>
      <c r="R482" s="4"/>
      <c r="S482" s="16">
        <v>0.11184829172837807</v>
      </c>
    </row>
    <row r="483" spans="4:19" x14ac:dyDescent="0.25">
      <c r="D483" s="38">
        <v>0.6916343103176873</v>
      </c>
      <c r="E483" s="4"/>
      <c r="F483" s="4"/>
      <c r="G483" s="4"/>
      <c r="H483" s="4"/>
      <c r="I483" s="4"/>
      <c r="J483" s="4"/>
      <c r="K483" s="4"/>
      <c r="L483" s="4"/>
      <c r="M483" s="7"/>
      <c r="N483" s="7"/>
      <c r="O483" s="4"/>
      <c r="P483" s="4"/>
      <c r="Q483" s="4"/>
      <c r="R483" s="4"/>
      <c r="S483" s="16">
        <v>0.87783196099197147</v>
      </c>
    </row>
    <row r="484" spans="4:19" x14ac:dyDescent="0.25">
      <c r="D484" s="38">
        <v>0.57676001446418756</v>
      </c>
      <c r="E484" s="4"/>
      <c r="F484" s="4"/>
      <c r="G484" s="4"/>
      <c r="H484" s="4"/>
      <c r="I484" s="4"/>
      <c r="J484" s="4"/>
      <c r="K484" s="4"/>
      <c r="L484" s="4"/>
      <c r="M484" s="7"/>
      <c r="N484" s="7"/>
      <c r="O484" s="4"/>
      <c r="P484" s="4"/>
      <c r="Q484" s="4"/>
      <c r="R484" s="4"/>
      <c r="S484" s="16">
        <v>0.92454168483760413</v>
      </c>
    </row>
    <row r="485" spans="4:19" x14ac:dyDescent="0.25">
      <c r="D485" s="38">
        <v>0.60811524067119549</v>
      </c>
      <c r="E485" s="4"/>
      <c r="F485" s="4"/>
      <c r="G485" s="4"/>
      <c r="H485" s="4"/>
      <c r="I485" s="4"/>
      <c r="J485" s="4"/>
      <c r="K485" s="4"/>
      <c r="L485" s="4"/>
      <c r="M485" s="7"/>
      <c r="N485" s="7"/>
      <c r="O485" s="4"/>
      <c r="P485" s="4"/>
      <c r="Q485" s="4"/>
      <c r="R485" s="4"/>
      <c r="S485" s="16">
        <v>0.39307885385402552</v>
      </c>
    </row>
    <row r="486" spans="4:19" x14ac:dyDescent="0.25">
      <c r="D486" s="38">
        <v>0.80085783561684742</v>
      </c>
      <c r="E486" s="4"/>
      <c r="F486" s="4"/>
      <c r="G486" s="4"/>
      <c r="H486" s="4"/>
      <c r="I486" s="4"/>
      <c r="J486" s="4"/>
      <c r="K486" s="4"/>
      <c r="L486" s="4"/>
      <c r="M486" s="7"/>
      <c r="N486" s="7"/>
      <c r="O486" s="4"/>
      <c r="P486" s="4"/>
      <c r="Q486" s="4"/>
      <c r="R486" s="4"/>
      <c r="S486" s="16">
        <v>0.52536378175791076</v>
      </c>
    </row>
    <row r="487" spans="4:19" x14ac:dyDescent="0.25">
      <c r="D487" s="38">
        <v>0.59385401294896223</v>
      </c>
      <c r="E487" s="4"/>
      <c r="F487" s="4"/>
      <c r="G487" s="4"/>
      <c r="H487" s="4"/>
      <c r="I487" s="4"/>
      <c r="J487" s="4"/>
      <c r="K487" s="4"/>
      <c r="L487" s="4"/>
      <c r="M487" s="7"/>
      <c r="N487" s="7"/>
      <c r="O487" s="4"/>
      <c r="P487" s="4"/>
      <c r="Q487" s="4"/>
      <c r="R487" s="4"/>
      <c r="S487" s="16">
        <v>0.7400886987497709</v>
      </c>
    </row>
    <row r="488" spans="4:19" x14ac:dyDescent="0.25">
      <c r="D488" s="38">
        <v>0.95228105793419449</v>
      </c>
      <c r="E488" s="4"/>
      <c r="F488" s="4"/>
      <c r="G488" s="4"/>
      <c r="H488" s="4"/>
      <c r="I488" s="4"/>
      <c r="J488" s="4"/>
      <c r="K488" s="4"/>
      <c r="L488" s="4"/>
      <c r="M488" s="7"/>
      <c r="N488" s="7"/>
      <c r="O488" s="4"/>
      <c r="P488" s="4"/>
      <c r="Q488" s="4"/>
      <c r="R488" s="4"/>
      <c r="S488" s="16">
        <v>0.29861761571744239</v>
      </c>
    </row>
    <row r="489" spans="4:19" x14ac:dyDescent="0.25">
      <c r="D489" s="38">
        <v>0.14486372370113731</v>
      </c>
      <c r="E489" s="4"/>
      <c r="F489" s="4"/>
      <c r="G489" s="4"/>
      <c r="H489" s="4"/>
      <c r="I489" s="4"/>
      <c r="J489" s="4"/>
      <c r="K489" s="4"/>
      <c r="L489" s="4"/>
      <c r="M489" s="7"/>
      <c r="N489" s="7"/>
      <c r="O489" s="4"/>
      <c r="P489" s="4"/>
      <c r="Q489" s="4"/>
      <c r="R489" s="4"/>
      <c r="S489" s="16">
        <v>0.86943948468664001</v>
      </c>
    </row>
    <row r="490" spans="4:19" x14ac:dyDescent="0.25">
      <c r="D490" s="38">
        <v>0.55450550344372851</v>
      </c>
      <c r="E490" s="4"/>
      <c r="F490" s="4"/>
      <c r="G490" s="4"/>
      <c r="H490" s="4"/>
      <c r="I490" s="4"/>
      <c r="J490" s="4"/>
      <c r="K490" s="4"/>
      <c r="L490" s="4"/>
      <c r="M490" s="7"/>
      <c r="N490" s="7"/>
      <c r="O490" s="4"/>
      <c r="P490" s="4"/>
      <c r="Q490" s="4"/>
      <c r="R490" s="4"/>
      <c r="S490" s="16">
        <v>0.3194570095735666</v>
      </c>
    </row>
    <row r="491" spans="4:19" x14ac:dyDescent="0.25">
      <c r="D491" s="38">
        <v>0.33699891253731806</v>
      </c>
      <c r="E491" s="4"/>
      <c r="F491" s="4"/>
      <c r="G491" s="4"/>
      <c r="H491" s="4"/>
      <c r="I491" s="4"/>
      <c r="J491" s="4"/>
      <c r="K491" s="4"/>
      <c r="L491" s="4"/>
      <c r="M491" s="7"/>
      <c r="N491" s="7"/>
      <c r="O491" s="4"/>
      <c r="P491" s="4"/>
      <c r="Q491" s="4"/>
      <c r="R491" s="4"/>
      <c r="S491" s="16">
        <v>0.4637676220494642</v>
      </c>
    </row>
    <row r="492" spans="4:19" x14ac:dyDescent="0.25">
      <c r="D492" s="38">
        <v>0.97529598392298344</v>
      </c>
      <c r="E492" s="4"/>
      <c r="F492" s="4"/>
      <c r="G492" s="4"/>
      <c r="H492" s="4"/>
      <c r="I492" s="4"/>
      <c r="J492" s="4"/>
      <c r="K492" s="4"/>
      <c r="L492" s="4"/>
      <c r="M492" s="7"/>
      <c r="N492" s="7"/>
      <c r="O492" s="4"/>
      <c r="P492" s="4"/>
      <c r="Q492" s="4"/>
      <c r="R492" s="4"/>
      <c r="S492" s="16">
        <v>0.8943221772153912</v>
      </c>
    </row>
    <row r="493" spans="4:19" x14ac:dyDescent="0.25">
      <c r="D493" s="38">
        <v>8.6882564495003645E-2</v>
      </c>
      <c r="E493" s="4"/>
      <c r="F493" s="4"/>
      <c r="G493" s="4"/>
      <c r="H493" s="4"/>
      <c r="I493" s="4"/>
      <c r="J493" s="4"/>
      <c r="K493" s="4"/>
      <c r="L493" s="4"/>
      <c r="M493" s="7"/>
      <c r="N493" s="7"/>
      <c r="O493" s="4"/>
      <c r="P493" s="4"/>
      <c r="Q493" s="4"/>
      <c r="R493" s="4"/>
      <c r="S493" s="16">
        <v>0.76806949332803642</v>
      </c>
    </row>
    <row r="494" spans="4:19" x14ac:dyDescent="0.25">
      <c r="D494" s="38">
        <v>0.27488637720293752</v>
      </c>
      <c r="E494" s="4"/>
      <c r="F494" s="4"/>
      <c r="G494" s="4"/>
      <c r="H494" s="4"/>
      <c r="I494" s="4"/>
      <c r="J494" s="4"/>
      <c r="K494" s="4"/>
      <c r="L494" s="4"/>
      <c r="M494" s="7"/>
      <c r="N494" s="7"/>
      <c r="O494" s="4"/>
      <c r="P494" s="4"/>
      <c r="Q494" s="4"/>
      <c r="R494" s="4"/>
      <c r="S494" s="16">
        <v>0.3875411659031115</v>
      </c>
    </row>
    <row r="495" spans="4:19" x14ac:dyDescent="0.25">
      <c r="D495" s="38">
        <v>0.76904005926419183</v>
      </c>
      <c r="E495" s="4"/>
      <c r="F495" s="4"/>
      <c r="G495" s="4"/>
      <c r="H495" s="4"/>
      <c r="I495" s="4"/>
      <c r="J495" s="4"/>
      <c r="K495" s="4"/>
      <c r="L495" s="4"/>
      <c r="M495" s="7"/>
      <c r="N495" s="7"/>
      <c r="O495" s="4"/>
      <c r="P495" s="4"/>
      <c r="Q495" s="4"/>
      <c r="R495" s="4"/>
      <c r="S495" s="16">
        <v>0.7143684398329111</v>
      </c>
    </row>
    <row r="496" spans="4:19" x14ac:dyDescent="0.25">
      <c r="D496" s="38">
        <v>0.78744152052363137</v>
      </c>
      <c r="E496" s="4"/>
      <c r="F496" s="4"/>
      <c r="G496" s="4"/>
      <c r="H496" s="4"/>
      <c r="I496" s="4"/>
      <c r="J496" s="4"/>
      <c r="K496" s="4"/>
      <c r="L496" s="4"/>
      <c r="M496" s="7"/>
      <c r="N496" s="7"/>
      <c r="O496" s="4"/>
      <c r="P496" s="4"/>
      <c r="Q496" s="4"/>
      <c r="R496" s="4"/>
      <c r="S496" s="16">
        <v>1.9834231478311648E-2</v>
      </c>
    </row>
    <row r="497" spans="4:19" x14ac:dyDescent="0.25">
      <c r="D497" s="38">
        <v>0.21433861140265809</v>
      </c>
      <c r="E497" s="4"/>
      <c r="F497" s="4"/>
      <c r="G497" s="4"/>
      <c r="H497" s="4"/>
      <c r="I497" s="4"/>
      <c r="J497" s="4"/>
      <c r="K497" s="4"/>
      <c r="L497" s="4"/>
      <c r="M497" s="7"/>
      <c r="N497" s="7"/>
      <c r="O497" s="4"/>
      <c r="P497" s="4"/>
      <c r="Q497" s="4"/>
      <c r="R497" s="4"/>
      <c r="S497" s="16">
        <v>0.14349083404767848</v>
      </c>
    </row>
    <row r="498" spans="4:19" x14ac:dyDescent="0.25">
      <c r="D498" s="38">
        <v>0.50673722339511407</v>
      </c>
      <c r="E498" s="4"/>
      <c r="F498" s="4"/>
      <c r="G498" s="4"/>
      <c r="H498" s="4"/>
      <c r="I498" s="4"/>
      <c r="J498" s="4"/>
      <c r="K498" s="4"/>
      <c r="L498" s="4"/>
      <c r="M498" s="7"/>
      <c r="N498" s="7"/>
      <c r="O498" s="4"/>
      <c r="P498" s="4"/>
      <c r="Q498" s="4"/>
      <c r="R498" s="4"/>
      <c r="S498" s="16">
        <v>0.25855162105960849</v>
      </c>
    </row>
    <row r="499" spans="4:19" x14ac:dyDescent="0.25">
      <c r="D499" s="38">
        <v>0.25632229106239368</v>
      </c>
      <c r="E499" s="4"/>
      <c r="F499" s="4"/>
      <c r="G499" s="4"/>
      <c r="H499" s="4"/>
      <c r="I499" s="4"/>
      <c r="J499" s="4"/>
      <c r="K499" s="4"/>
      <c r="L499" s="4"/>
      <c r="M499" s="7"/>
      <c r="N499" s="7"/>
      <c r="O499" s="4"/>
      <c r="P499" s="4"/>
      <c r="Q499" s="4"/>
      <c r="R499" s="4"/>
      <c r="S499" s="16">
        <v>0.37343734646547788</v>
      </c>
    </row>
    <row r="500" spans="4:19" x14ac:dyDescent="0.25">
      <c r="D500" s="38">
        <v>0.12078122791317691</v>
      </c>
      <c r="E500" s="4"/>
      <c r="F500" s="4"/>
      <c r="G500" s="4"/>
      <c r="H500" s="4"/>
      <c r="I500" s="4"/>
      <c r="J500" s="4"/>
      <c r="K500" s="4"/>
      <c r="L500" s="4"/>
      <c r="M500" s="7"/>
      <c r="N500" s="7"/>
      <c r="O500" s="4"/>
      <c r="P500" s="4"/>
      <c r="Q500" s="4"/>
      <c r="R500" s="4"/>
      <c r="S500" s="16">
        <v>0.74993035053259649</v>
      </c>
    </row>
    <row r="501" spans="4:19" x14ac:dyDescent="0.25">
      <c r="D501" s="38">
        <v>0.15856003794860807</v>
      </c>
      <c r="E501" s="4"/>
      <c r="F501" s="4"/>
      <c r="G501" s="4"/>
      <c r="H501" s="4"/>
      <c r="I501" s="4"/>
      <c r="J501" s="4"/>
      <c r="K501" s="4"/>
      <c r="L501" s="4"/>
      <c r="M501" s="7"/>
      <c r="N501" s="7"/>
      <c r="O501" s="4"/>
      <c r="P501" s="4"/>
      <c r="Q501" s="4"/>
      <c r="R501" s="4"/>
      <c r="S501" s="16">
        <v>0.41804303081133332</v>
      </c>
    </row>
    <row r="502" spans="4:19" x14ac:dyDescent="0.25">
      <c r="D502" s="38">
        <v>0.39302649481733953</v>
      </c>
      <c r="E502" s="4"/>
      <c r="F502" s="4"/>
      <c r="G502" s="4"/>
      <c r="H502" s="4"/>
      <c r="I502" s="4"/>
      <c r="J502" s="4"/>
      <c r="K502" s="4"/>
      <c r="L502" s="4"/>
      <c r="M502" s="7"/>
      <c r="N502" s="7"/>
      <c r="O502" s="4"/>
      <c r="P502" s="4"/>
      <c r="Q502" s="4"/>
      <c r="R502" s="4"/>
      <c r="S502" s="16">
        <v>0.1599147951215758</v>
      </c>
    </row>
    <row r="503" spans="4:19" x14ac:dyDescent="0.25">
      <c r="D503" s="38">
        <v>0.3135672996827924</v>
      </c>
      <c r="E503" s="4"/>
      <c r="F503" s="4"/>
      <c r="G503" s="4"/>
      <c r="H503" s="4"/>
      <c r="I503" s="4"/>
      <c r="J503" s="4"/>
      <c r="K503" s="4"/>
      <c r="L503" s="4"/>
      <c r="M503" s="7"/>
      <c r="N503" s="7"/>
      <c r="O503" s="4"/>
      <c r="P503" s="4"/>
      <c r="Q503" s="4"/>
      <c r="R503" s="4"/>
      <c r="S503" s="16">
        <v>0.22331788403720632</v>
      </c>
    </row>
    <row r="504" spans="4:19" x14ac:dyDescent="0.25">
      <c r="D504" s="38">
        <v>0.58343519047342929</v>
      </c>
      <c r="E504" s="4"/>
      <c r="F504" s="4"/>
      <c r="G504" s="4"/>
      <c r="H504" s="4"/>
      <c r="I504" s="4"/>
      <c r="J504" s="4"/>
      <c r="K504" s="4"/>
      <c r="L504" s="4"/>
      <c r="M504" s="7"/>
      <c r="N504" s="7"/>
      <c r="O504" s="4"/>
      <c r="P504" s="4"/>
      <c r="Q504" s="4"/>
      <c r="R504" s="4"/>
      <c r="S504" s="16">
        <v>4.4484965779647445E-2</v>
      </c>
    </row>
    <row r="505" spans="4:19" x14ac:dyDescent="0.25">
      <c r="D505" s="38">
        <v>0.7944756874894584</v>
      </c>
      <c r="E505" s="4"/>
      <c r="F505" s="4"/>
      <c r="G505" s="4"/>
      <c r="H505" s="4"/>
      <c r="I505" s="4"/>
      <c r="J505" s="4"/>
      <c r="K505" s="4"/>
      <c r="L505" s="4"/>
      <c r="M505" s="7"/>
      <c r="N505" s="7"/>
      <c r="O505" s="4"/>
      <c r="P505" s="4"/>
      <c r="Q505" s="4"/>
      <c r="R505" s="4"/>
      <c r="S505" s="16">
        <v>0.60304720621964236</v>
      </c>
    </row>
    <row r="506" spans="4:19" x14ac:dyDescent="0.25">
      <c r="D506" s="38">
        <v>0.6420195511749518</v>
      </c>
      <c r="E506" s="4"/>
      <c r="F506" s="4"/>
      <c r="G506" s="4"/>
      <c r="H506" s="4"/>
      <c r="I506" s="4"/>
      <c r="J506" s="4"/>
      <c r="K506" s="4"/>
      <c r="L506" s="4"/>
      <c r="M506" s="7"/>
      <c r="N506" s="7"/>
      <c r="O506" s="4"/>
      <c r="P506" s="4"/>
      <c r="Q506" s="4"/>
      <c r="R506" s="4"/>
      <c r="S506" s="16">
        <v>0.92030741053988174</v>
      </c>
    </row>
    <row r="507" spans="4:19" x14ac:dyDescent="0.25">
      <c r="D507" s="38">
        <v>0.93473375936274217</v>
      </c>
      <c r="E507" s="4"/>
      <c r="F507" s="4"/>
      <c r="G507" s="4"/>
      <c r="H507" s="4"/>
      <c r="I507" s="4"/>
      <c r="J507" s="4"/>
      <c r="K507" s="4"/>
      <c r="L507" s="4"/>
      <c r="M507" s="7"/>
      <c r="N507" s="7"/>
      <c r="O507" s="4"/>
      <c r="P507" s="4"/>
      <c r="Q507" s="4"/>
      <c r="R507" s="4"/>
      <c r="S507" s="16">
        <v>0.65591085803053839</v>
      </c>
    </row>
    <row r="508" spans="4:19" x14ac:dyDescent="0.25">
      <c r="D508" s="38">
        <v>0.63845777184344776</v>
      </c>
      <c r="E508" s="4"/>
      <c r="F508" s="4"/>
      <c r="G508" s="4"/>
      <c r="H508" s="4"/>
      <c r="I508" s="4"/>
      <c r="J508" s="4"/>
      <c r="K508" s="4"/>
      <c r="L508" s="4"/>
      <c r="M508" s="7"/>
      <c r="N508" s="7"/>
      <c r="O508" s="4"/>
      <c r="P508" s="4"/>
      <c r="Q508" s="4"/>
      <c r="R508" s="4"/>
      <c r="S508" s="16">
        <v>0.44755350388054538</v>
      </c>
    </row>
    <row r="509" spans="4:19" x14ac:dyDescent="0.25">
      <c r="D509" s="38">
        <v>0.83472403856134247</v>
      </c>
      <c r="E509" s="4"/>
      <c r="F509" s="4"/>
      <c r="G509" s="4"/>
      <c r="H509" s="4"/>
      <c r="I509" s="4"/>
      <c r="J509" s="4"/>
      <c r="K509" s="4"/>
      <c r="L509" s="4"/>
      <c r="M509" s="7"/>
      <c r="N509" s="7"/>
      <c r="O509" s="4"/>
      <c r="P509" s="4"/>
      <c r="Q509" s="4"/>
      <c r="R509" s="4"/>
      <c r="S509" s="16">
        <v>0.60721595097653025</v>
      </c>
    </row>
    <row r="510" spans="4:19" x14ac:dyDescent="0.25">
      <c r="D510" s="38">
        <v>0.22655787558392482</v>
      </c>
      <c r="E510" s="4"/>
      <c r="F510" s="4"/>
      <c r="G510" s="4"/>
      <c r="H510" s="4"/>
      <c r="I510" s="4"/>
      <c r="J510" s="4"/>
      <c r="K510" s="4"/>
      <c r="L510" s="4"/>
      <c r="M510" s="7"/>
      <c r="N510" s="7"/>
      <c r="O510" s="4"/>
      <c r="P510" s="4"/>
      <c r="Q510" s="4"/>
      <c r="R510" s="4"/>
      <c r="S510" s="16">
        <v>0.89297110134924018</v>
      </c>
    </row>
    <row r="511" spans="4:19" x14ac:dyDescent="0.25">
      <c r="D511" s="38">
        <v>0.92803512782660502</v>
      </c>
      <c r="E511" s="4"/>
      <c r="F511" s="4"/>
      <c r="G511" s="4"/>
      <c r="H511" s="4"/>
      <c r="I511" s="4"/>
      <c r="J511" s="4"/>
      <c r="K511" s="4"/>
      <c r="L511" s="4"/>
      <c r="M511" s="7"/>
      <c r="N511" s="7"/>
      <c r="O511" s="4"/>
      <c r="P511" s="4"/>
      <c r="Q511" s="4"/>
      <c r="R511" s="4"/>
      <c r="S511" s="16">
        <v>0.95658001967400796</v>
      </c>
    </row>
    <row r="512" spans="4:19" x14ac:dyDescent="0.25">
      <c r="D512" s="38">
        <v>8.2951221679250731E-2</v>
      </c>
      <c r="E512" s="4"/>
      <c r="F512" s="4"/>
      <c r="G512" s="4"/>
      <c r="H512" s="4"/>
      <c r="I512" s="4"/>
      <c r="J512" s="4"/>
      <c r="K512" s="4"/>
      <c r="L512" s="4"/>
      <c r="M512" s="7"/>
      <c r="N512" s="7"/>
      <c r="O512" s="4"/>
      <c r="P512" s="4"/>
      <c r="Q512" s="4"/>
      <c r="R512" s="4"/>
      <c r="S512" s="16">
        <v>0.69540227369608343</v>
      </c>
    </row>
    <row r="513" spans="4:19" x14ac:dyDescent="0.25">
      <c r="D513" s="38">
        <v>0.33768043247874624</v>
      </c>
      <c r="E513" s="4"/>
      <c r="F513" s="4"/>
      <c r="G513" s="4"/>
      <c r="H513" s="4"/>
      <c r="I513" s="4"/>
      <c r="J513" s="4"/>
      <c r="K513" s="4"/>
      <c r="L513" s="4"/>
      <c r="M513" s="7"/>
      <c r="N513" s="7"/>
      <c r="O513" s="4"/>
      <c r="P513" s="4"/>
      <c r="Q513" s="4"/>
      <c r="R513" s="4"/>
      <c r="S513" s="16">
        <v>0.1219169683815341</v>
      </c>
    </row>
    <row r="514" spans="4:19" x14ac:dyDescent="0.25">
      <c r="D514" s="38">
        <v>0.70662094189826397</v>
      </c>
      <c r="E514" s="4"/>
      <c r="F514" s="4"/>
      <c r="G514" s="4"/>
      <c r="H514" s="4"/>
      <c r="I514" s="4"/>
      <c r="J514" s="4"/>
      <c r="K514" s="4"/>
      <c r="L514" s="4"/>
      <c r="M514" s="7"/>
      <c r="N514" s="7"/>
      <c r="O514" s="4"/>
      <c r="P514" s="4"/>
      <c r="Q514" s="4"/>
      <c r="R514" s="4"/>
      <c r="S514" s="16">
        <v>0.95191758845106933</v>
      </c>
    </row>
    <row r="515" spans="4:19" x14ac:dyDescent="0.25">
      <c r="D515" s="38">
        <v>0.54926297074391839</v>
      </c>
      <c r="E515" s="4"/>
      <c r="F515" s="4"/>
      <c r="G515" s="4"/>
      <c r="H515" s="4"/>
      <c r="I515" s="4"/>
      <c r="J515" s="4"/>
      <c r="K515" s="4"/>
      <c r="L515" s="4"/>
      <c r="M515" s="7"/>
      <c r="N515" s="7"/>
      <c r="O515" s="4"/>
      <c r="P515" s="4"/>
      <c r="Q515" s="4"/>
      <c r="R515" s="4"/>
      <c r="S515" s="16">
        <v>0.21413312550494168</v>
      </c>
    </row>
    <row r="516" spans="4:19" x14ac:dyDescent="0.25">
      <c r="D516" s="38">
        <v>0.24719091255959069</v>
      </c>
      <c r="E516" s="4"/>
      <c r="F516" s="4"/>
      <c r="G516" s="4"/>
      <c r="H516" s="4"/>
      <c r="I516" s="4"/>
      <c r="J516" s="4"/>
      <c r="K516" s="4"/>
      <c r="L516" s="4"/>
      <c r="M516" s="7"/>
      <c r="N516" s="7"/>
      <c r="O516" s="4"/>
      <c r="P516" s="4"/>
      <c r="Q516" s="4"/>
      <c r="R516" s="4"/>
      <c r="S516" s="16">
        <v>0.31806379392727302</v>
      </c>
    </row>
    <row r="517" spans="4:19" x14ac:dyDescent="0.25">
      <c r="D517" s="38">
        <v>0.87254261095400676</v>
      </c>
      <c r="E517" s="4"/>
      <c r="F517" s="4"/>
      <c r="G517" s="4"/>
      <c r="H517" s="4"/>
      <c r="I517" s="4"/>
      <c r="J517" s="4"/>
      <c r="K517" s="4"/>
      <c r="L517" s="4"/>
      <c r="M517" s="7"/>
      <c r="N517" s="7"/>
      <c r="O517" s="4"/>
      <c r="P517" s="4"/>
      <c r="Q517" s="4"/>
      <c r="R517" s="4"/>
      <c r="S517" s="16">
        <v>0.34147323281777675</v>
      </c>
    </row>
    <row r="518" spans="4:19" x14ac:dyDescent="0.25">
      <c r="D518" s="38">
        <v>0.37220237924394484</v>
      </c>
      <c r="E518" s="4"/>
      <c r="F518" s="4"/>
      <c r="G518" s="4"/>
      <c r="H518" s="4"/>
      <c r="I518" s="4"/>
      <c r="J518" s="4"/>
      <c r="K518" s="4"/>
      <c r="L518" s="4"/>
      <c r="M518" s="7"/>
      <c r="N518" s="7"/>
      <c r="O518" s="4"/>
      <c r="P518" s="4"/>
      <c r="Q518" s="4"/>
      <c r="R518" s="4"/>
      <c r="S518" s="16">
        <v>0.11817551960400852</v>
      </c>
    </row>
    <row r="519" spans="4:19" x14ac:dyDescent="0.25">
      <c r="D519" s="38">
        <v>2.2347642279480606E-2</v>
      </c>
      <c r="E519" s="4"/>
      <c r="F519" s="4"/>
      <c r="G519" s="4"/>
      <c r="H519" s="4"/>
      <c r="I519" s="4"/>
      <c r="J519" s="4"/>
      <c r="K519" s="4"/>
      <c r="L519" s="4"/>
      <c r="M519" s="7"/>
      <c r="N519" s="7"/>
      <c r="O519" s="4"/>
      <c r="P519" s="4"/>
      <c r="Q519" s="4"/>
      <c r="R519" s="4"/>
      <c r="S519" s="16">
        <v>0.73681467009791468</v>
      </c>
    </row>
    <row r="520" spans="4:19" x14ac:dyDescent="0.25">
      <c r="D520" s="38">
        <v>0.93774003714018628</v>
      </c>
      <c r="E520" s="4"/>
      <c r="F520" s="4"/>
      <c r="G520" s="4"/>
      <c r="H520" s="4"/>
      <c r="I520" s="4"/>
      <c r="J520" s="4"/>
      <c r="K520" s="4"/>
      <c r="L520" s="4"/>
      <c r="M520" s="7"/>
      <c r="N520" s="7"/>
      <c r="O520" s="4"/>
      <c r="P520" s="4"/>
      <c r="Q520" s="4"/>
      <c r="R520" s="4"/>
      <c r="S520" s="16">
        <v>0.13612905697581223</v>
      </c>
    </row>
    <row r="521" spans="4:19" x14ac:dyDescent="0.25">
      <c r="D521" s="38">
        <v>0.68493184283734365</v>
      </c>
      <c r="E521" s="4"/>
      <c r="F521" s="4"/>
      <c r="G521" s="4"/>
      <c r="H521" s="4"/>
      <c r="I521" s="4"/>
      <c r="J521" s="4"/>
      <c r="K521" s="4"/>
      <c r="L521" s="4"/>
      <c r="M521" s="7"/>
      <c r="N521" s="7"/>
      <c r="O521" s="4"/>
      <c r="P521" s="4"/>
      <c r="Q521" s="4"/>
      <c r="R521" s="4"/>
      <c r="S521" s="16">
        <v>0.24188185220202174</v>
      </c>
    </row>
    <row r="522" spans="4:19" x14ac:dyDescent="0.25">
      <c r="D522" s="38">
        <v>0.17315812006429121</v>
      </c>
      <c r="E522" s="4"/>
      <c r="F522" s="4"/>
      <c r="G522" s="4"/>
      <c r="H522" s="4"/>
      <c r="I522" s="4"/>
      <c r="J522" s="4"/>
      <c r="K522" s="4"/>
      <c r="L522" s="4"/>
      <c r="M522" s="7"/>
      <c r="N522" s="7"/>
      <c r="O522" s="4"/>
      <c r="P522" s="4"/>
      <c r="Q522" s="4"/>
      <c r="R522" s="4"/>
      <c r="S522" s="16">
        <v>0.88217591506676529</v>
      </c>
    </row>
    <row r="523" spans="4:19" x14ac:dyDescent="0.25">
      <c r="D523" s="38">
        <v>0.32492126880561856</v>
      </c>
      <c r="E523" s="4"/>
      <c r="F523" s="4"/>
      <c r="G523" s="4"/>
      <c r="H523" s="4"/>
      <c r="I523" s="4"/>
      <c r="J523" s="4"/>
      <c r="K523" s="4"/>
      <c r="L523" s="4"/>
      <c r="M523" s="7"/>
      <c r="N523" s="7"/>
      <c r="O523" s="4"/>
      <c r="P523" s="4"/>
      <c r="Q523" s="4"/>
      <c r="R523" s="4"/>
      <c r="S523" s="16">
        <v>0.16719296777679338</v>
      </c>
    </row>
    <row r="524" spans="4:19" x14ac:dyDescent="0.25">
      <c r="D524" s="38">
        <v>0.25541662567737133</v>
      </c>
      <c r="E524" s="4"/>
      <c r="F524" s="4"/>
      <c r="G524" s="4"/>
      <c r="H524" s="4"/>
      <c r="I524" s="4"/>
      <c r="J524" s="4"/>
      <c r="K524" s="4"/>
      <c r="L524" s="4"/>
      <c r="M524" s="7"/>
      <c r="N524" s="7"/>
      <c r="O524" s="4"/>
      <c r="P524" s="4"/>
      <c r="Q524" s="4"/>
      <c r="R524" s="4"/>
      <c r="S524" s="16">
        <v>0.1009017673797219</v>
      </c>
    </row>
    <row r="525" spans="4:19" x14ac:dyDescent="0.25">
      <c r="D525" s="38">
        <v>0.84868208704655079</v>
      </c>
      <c r="E525" s="4"/>
      <c r="F525" s="4"/>
      <c r="G525" s="4"/>
      <c r="H525" s="4"/>
      <c r="I525" s="4"/>
      <c r="J525" s="4"/>
      <c r="K525" s="4"/>
      <c r="L525" s="4"/>
      <c r="M525" s="7"/>
      <c r="N525" s="7"/>
      <c r="O525" s="4"/>
      <c r="P525" s="4"/>
      <c r="Q525" s="4"/>
      <c r="R525" s="4"/>
      <c r="S525" s="16">
        <v>0.82674592155685822</v>
      </c>
    </row>
    <row r="526" spans="4:19" x14ac:dyDescent="0.25">
      <c r="D526" s="38">
        <v>0.1949077652393022</v>
      </c>
      <c r="E526" s="4"/>
      <c r="F526" s="4"/>
      <c r="G526" s="4"/>
      <c r="H526" s="4"/>
      <c r="I526" s="4"/>
      <c r="J526" s="4"/>
      <c r="K526" s="4"/>
      <c r="L526" s="4"/>
      <c r="M526" s="7"/>
      <c r="N526" s="7"/>
      <c r="O526" s="4"/>
      <c r="P526" s="4"/>
      <c r="Q526" s="4"/>
      <c r="R526" s="4"/>
      <c r="S526" s="16">
        <v>0.8521033903710058</v>
      </c>
    </row>
    <row r="527" spans="4:19" x14ac:dyDescent="0.25">
      <c r="D527" s="38">
        <v>0.58897084573036806</v>
      </c>
      <c r="E527" s="4"/>
      <c r="F527" s="4"/>
      <c r="G527" s="4"/>
      <c r="H527" s="4"/>
      <c r="I527" s="4"/>
      <c r="J527" s="4"/>
      <c r="K527" s="4"/>
      <c r="L527" s="4"/>
      <c r="M527" s="7"/>
      <c r="N527" s="7"/>
      <c r="O527" s="4"/>
      <c r="P527" s="4"/>
      <c r="Q527" s="4"/>
      <c r="R527" s="4"/>
      <c r="S527" s="16">
        <v>0.71435181761645417</v>
      </c>
    </row>
    <row r="528" spans="4:19" x14ac:dyDescent="0.25">
      <c r="D528" s="38">
        <v>6.3759927965292285E-3</v>
      </c>
      <c r="E528" s="4"/>
      <c r="F528" s="4"/>
      <c r="G528" s="4"/>
      <c r="H528" s="4"/>
      <c r="I528" s="4"/>
      <c r="J528" s="4"/>
      <c r="K528" s="4"/>
      <c r="L528" s="4"/>
      <c r="M528" s="7"/>
      <c r="N528" s="7"/>
      <c r="O528" s="4"/>
      <c r="P528" s="4"/>
      <c r="Q528" s="4"/>
      <c r="R528" s="4"/>
      <c r="S528" s="16">
        <v>0.593082614083974</v>
      </c>
    </row>
    <row r="529" spans="4:19" x14ac:dyDescent="0.25">
      <c r="D529" s="38">
        <v>0.53352185946328035</v>
      </c>
      <c r="E529" s="4"/>
      <c r="F529" s="4"/>
      <c r="G529" s="4"/>
      <c r="H529" s="4"/>
      <c r="I529" s="4"/>
      <c r="J529" s="4"/>
      <c r="K529" s="4"/>
      <c r="L529" s="4"/>
      <c r="M529" s="7"/>
      <c r="N529" s="7"/>
      <c r="O529" s="4"/>
      <c r="P529" s="4"/>
      <c r="Q529" s="4"/>
      <c r="R529" s="4"/>
      <c r="S529" s="16">
        <v>0.17900660791904066</v>
      </c>
    </row>
    <row r="530" spans="4:19" x14ac:dyDescent="0.25">
      <c r="D530" s="38">
        <v>0.90244785539398964</v>
      </c>
      <c r="E530" s="4"/>
      <c r="F530" s="4"/>
      <c r="G530" s="4"/>
      <c r="H530" s="4"/>
      <c r="I530" s="4"/>
      <c r="J530" s="4"/>
      <c r="K530" s="4"/>
      <c r="L530" s="4"/>
      <c r="M530" s="7"/>
      <c r="N530" s="7"/>
      <c r="O530" s="4"/>
      <c r="P530" s="4"/>
      <c r="Q530" s="4"/>
      <c r="R530" s="4"/>
      <c r="S530" s="16">
        <v>0.62947378816446464</v>
      </c>
    </row>
    <row r="531" spans="4:19" x14ac:dyDescent="0.25">
      <c r="D531" s="38">
        <v>0.37598373948549102</v>
      </c>
      <c r="E531" s="4"/>
      <c r="F531" s="4"/>
      <c r="G531" s="4"/>
      <c r="H531" s="4"/>
      <c r="I531" s="4"/>
      <c r="J531" s="4"/>
      <c r="K531" s="4"/>
      <c r="L531" s="4"/>
      <c r="M531" s="7"/>
      <c r="N531" s="7"/>
      <c r="O531" s="4"/>
      <c r="P531" s="4"/>
      <c r="Q531" s="4"/>
      <c r="R531" s="4"/>
      <c r="S531" s="16">
        <v>0.24949108481553917</v>
      </c>
    </row>
    <row r="532" spans="4:19" x14ac:dyDescent="0.25">
      <c r="D532" s="38">
        <v>0.51935224002184266</v>
      </c>
      <c r="E532" s="4"/>
      <c r="F532" s="4"/>
      <c r="G532" s="4"/>
      <c r="H532" s="4"/>
      <c r="I532" s="4"/>
      <c r="J532" s="4"/>
      <c r="K532" s="4"/>
      <c r="L532" s="4"/>
      <c r="M532" s="7"/>
      <c r="N532" s="7"/>
      <c r="O532" s="4"/>
      <c r="P532" s="4"/>
      <c r="Q532" s="4"/>
      <c r="R532" s="4"/>
      <c r="S532" s="16">
        <v>0.88160145109424026</v>
      </c>
    </row>
    <row r="533" spans="4:19" x14ac:dyDescent="0.25">
      <c r="D533" s="38">
        <v>0.26768718104978817</v>
      </c>
      <c r="E533" s="4"/>
      <c r="F533" s="4"/>
      <c r="G533" s="4"/>
      <c r="H533" s="4"/>
      <c r="I533" s="4"/>
      <c r="J533" s="4"/>
      <c r="K533" s="4"/>
      <c r="L533" s="4"/>
      <c r="M533" s="7"/>
      <c r="N533" s="7"/>
      <c r="O533" s="4"/>
      <c r="P533" s="4"/>
      <c r="Q533" s="4"/>
      <c r="R533" s="4"/>
      <c r="S533" s="16">
        <v>0.43090675851998506</v>
      </c>
    </row>
    <row r="534" spans="4:19" x14ac:dyDescent="0.25">
      <c r="D534" s="38">
        <v>0.95137146951443896</v>
      </c>
      <c r="E534" s="4"/>
      <c r="F534" s="4"/>
      <c r="G534" s="4"/>
      <c r="H534" s="4"/>
      <c r="I534" s="4"/>
      <c r="J534" s="4"/>
      <c r="K534" s="4"/>
      <c r="L534" s="4"/>
      <c r="M534" s="7"/>
      <c r="N534" s="7"/>
      <c r="O534" s="4"/>
      <c r="P534" s="4"/>
      <c r="Q534" s="4"/>
      <c r="R534" s="4"/>
      <c r="S534" s="16">
        <v>0.94824046016206509</v>
      </c>
    </row>
    <row r="535" spans="4:19" x14ac:dyDescent="0.25">
      <c r="D535" s="38">
        <v>0.12876293844509179</v>
      </c>
      <c r="E535" s="4"/>
      <c r="F535" s="4"/>
      <c r="G535" s="4"/>
      <c r="H535" s="4"/>
      <c r="I535" s="4"/>
      <c r="J535" s="4"/>
      <c r="K535" s="4"/>
      <c r="L535" s="4"/>
      <c r="M535" s="7"/>
      <c r="N535" s="7"/>
      <c r="O535" s="4"/>
      <c r="P535" s="4"/>
      <c r="Q535" s="4"/>
      <c r="R535" s="4"/>
      <c r="S535" s="16">
        <v>0.91651532119365553</v>
      </c>
    </row>
    <row r="536" spans="4:19" x14ac:dyDescent="0.25">
      <c r="D536" s="38">
        <v>0.2035369074370631</v>
      </c>
      <c r="E536" s="4"/>
      <c r="F536" s="4"/>
      <c r="G536" s="4"/>
      <c r="H536" s="4"/>
      <c r="I536" s="4"/>
      <c r="J536" s="4"/>
      <c r="K536" s="4"/>
      <c r="L536" s="4"/>
      <c r="M536" s="7"/>
      <c r="N536" s="7"/>
      <c r="O536" s="4"/>
      <c r="P536" s="4"/>
      <c r="Q536" s="4"/>
      <c r="R536" s="4"/>
      <c r="S536" s="16">
        <v>0.19170021933056269</v>
      </c>
    </row>
    <row r="537" spans="4:19" x14ac:dyDescent="0.25">
      <c r="D537" s="38">
        <v>0.7923757577140933</v>
      </c>
      <c r="E537" s="4"/>
      <c r="F537" s="4"/>
      <c r="G537" s="4"/>
      <c r="H537" s="4"/>
      <c r="I537" s="4"/>
      <c r="J537" s="4"/>
      <c r="K537" s="4"/>
      <c r="L537" s="4"/>
      <c r="M537" s="7"/>
      <c r="N537" s="7"/>
      <c r="O537" s="4"/>
      <c r="P537" s="4"/>
      <c r="Q537" s="4"/>
      <c r="R537" s="4"/>
      <c r="S537" s="16">
        <v>0.29026247804426364</v>
      </c>
    </row>
    <row r="538" spans="4:19" x14ac:dyDescent="0.25">
      <c r="D538" s="38">
        <v>0.30555878636365297</v>
      </c>
      <c r="E538" s="4"/>
      <c r="F538" s="4"/>
      <c r="G538" s="4"/>
      <c r="H538" s="4"/>
      <c r="I538" s="4"/>
      <c r="J538" s="4"/>
      <c r="K538" s="4"/>
      <c r="L538" s="4"/>
      <c r="M538" s="7"/>
      <c r="N538" s="7"/>
      <c r="O538" s="4"/>
      <c r="P538" s="4"/>
      <c r="Q538" s="4"/>
      <c r="R538" s="4"/>
      <c r="S538" s="16">
        <v>0.60317059435090725</v>
      </c>
    </row>
    <row r="539" spans="4:19" x14ac:dyDescent="0.25">
      <c r="D539" s="38">
        <v>0.26585101890957641</v>
      </c>
      <c r="E539" s="4"/>
      <c r="F539" s="4"/>
      <c r="G539" s="4"/>
      <c r="H539" s="4"/>
      <c r="I539" s="4"/>
      <c r="J539" s="4"/>
      <c r="K539" s="4"/>
      <c r="L539" s="4"/>
      <c r="M539" s="7"/>
      <c r="N539" s="7"/>
      <c r="O539" s="4"/>
      <c r="P539" s="4"/>
      <c r="Q539" s="4"/>
      <c r="R539" s="4"/>
      <c r="S539" s="16">
        <v>0.72003666916126285</v>
      </c>
    </row>
    <row r="540" spans="4:19" x14ac:dyDescent="0.25">
      <c r="D540" s="38">
        <v>0.25085963672963896</v>
      </c>
      <c r="E540" s="4"/>
      <c r="F540" s="4"/>
      <c r="G540" s="4"/>
      <c r="H540" s="4"/>
      <c r="I540" s="4"/>
      <c r="J540" s="4"/>
      <c r="K540" s="4"/>
      <c r="L540" s="4"/>
      <c r="M540" s="7"/>
      <c r="N540" s="7"/>
      <c r="O540" s="4"/>
      <c r="P540" s="4"/>
      <c r="Q540" s="4"/>
      <c r="R540" s="4"/>
      <c r="S540" s="16">
        <v>0.19408730435745092</v>
      </c>
    </row>
    <row r="541" spans="4:19" x14ac:dyDescent="0.25">
      <c r="D541" s="38">
        <v>0.72205376317533843</v>
      </c>
      <c r="E541" s="4"/>
      <c r="F541" s="4"/>
      <c r="G541" s="4"/>
      <c r="H541" s="4"/>
      <c r="I541" s="4"/>
      <c r="J541" s="4"/>
      <c r="K541" s="4"/>
      <c r="L541" s="4"/>
      <c r="M541" s="7"/>
      <c r="N541" s="7"/>
      <c r="O541" s="4"/>
      <c r="P541" s="4"/>
      <c r="Q541" s="4"/>
      <c r="R541" s="4"/>
      <c r="S541" s="16">
        <v>0.38294218039421579</v>
      </c>
    </row>
    <row r="542" spans="4:19" x14ac:dyDescent="0.25">
      <c r="D542" s="38">
        <v>0.68359177058312881</v>
      </c>
      <c r="E542" s="4"/>
      <c r="F542" s="4"/>
      <c r="G542" s="4"/>
      <c r="H542" s="4"/>
      <c r="I542" s="4"/>
      <c r="J542" s="4"/>
      <c r="K542" s="4"/>
      <c r="L542" s="4"/>
      <c r="M542" s="7"/>
      <c r="N542" s="7"/>
      <c r="O542" s="4"/>
      <c r="P542" s="4"/>
      <c r="Q542" s="4"/>
      <c r="R542" s="4"/>
      <c r="S542" s="16">
        <v>0.30235556959345578</v>
      </c>
    </row>
    <row r="543" spans="4:19" x14ac:dyDescent="0.25">
      <c r="D543" s="38">
        <v>0.73092563535971022</v>
      </c>
      <c r="E543" s="4"/>
      <c r="F543" s="4"/>
      <c r="G543" s="4"/>
      <c r="H543" s="4"/>
      <c r="I543" s="4"/>
      <c r="J543" s="4"/>
      <c r="K543" s="4"/>
      <c r="L543" s="4"/>
      <c r="M543" s="7"/>
      <c r="N543" s="7"/>
      <c r="O543" s="4"/>
      <c r="P543" s="4"/>
      <c r="Q543" s="4"/>
      <c r="R543" s="4"/>
      <c r="S543" s="16">
        <v>0.61025109061603744</v>
      </c>
    </row>
    <row r="544" spans="4:19" x14ac:dyDescent="0.25">
      <c r="D544" s="38">
        <v>0.96779955358834358</v>
      </c>
      <c r="E544" s="4"/>
      <c r="F544" s="4"/>
      <c r="G544" s="4"/>
      <c r="H544" s="4"/>
      <c r="I544" s="4"/>
      <c r="J544" s="4"/>
      <c r="K544" s="4"/>
      <c r="L544" s="4"/>
      <c r="M544" s="7"/>
      <c r="N544" s="7"/>
      <c r="O544" s="4"/>
      <c r="P544" s="4"/>
      <c r="Q544" s="4"/>
      <c r="R544" s="4"/>
      <c r="S544" s="16">
        <v>0.5176928566768878</v>
      </c>
    </row>
    <row r="545" spans="4:19" x14ac:dyDescent="0.25">
      <c r="D545" s="38">
        <v>0.6895306290439609</v>
      </c>
      <c r="E545" s="4"/>
      <c r="F545" s="4"/>
      <c r="G545" s="4"/>
      <c r="H545" s="4"/>
      <c r="I545" s="4"/>
      <c r="J545" s="4"/>
      <c r="K545" s="4"/>
      <c r="L545" s="4"/>
      <c r="M545" s="7"/>
      <c r="N545" s="7"/>
      <c r="O545" s="4"/>
      <c r="P545" s="4"/>
      <c r="Q545" s="4"/>
      <c r="R545" s="4"/>
      <c r="S545" s="16">
        <v>0.39979171367395139</v>
      </c>
    </row>
    <row r="546" spans="4:19" x14ac:dyDescent="0.25">
      <c r="D546" s="38">
        <v>0.45632163014247162</v>
      </c>
      <c r="E546" s="4"/>
      <c r="F546" s="4"/>
      <c r="G546" s="4"/>
      <c r="H546" s="4"/>
      <c r="I546" s="4"/>
      <c r="J546" s="4"/>
      <c r="K546" s="4"/>
      <c r="L546" s="4"/>
      <c r="M546" s="7"/>
      <c r="N546" s="7"/>
      <c r="O546" s="4"/>
      <c r="P546" s="4"/>
      <c r="Q546" s="4"/>
      <c r="R546" s="4"/>
      <c r="S546" s="16">
        <v>0.19584162636248204</v>
      </c>
    </row>
    <row r="547" spans="4:19" x14ac:dyDescent="0.25">
      <c r="D547" s="38">
        <v>0.28610519788909317</v>
      </c>
      <c r="E547" s="4"/>
      <c r="F547" s="4"/>
      <c r="G547" s="4"/>
      <c r="H547" s="4"/>
      <c r="I547" s="4"/>
      <c r="J547" s="4"/>
      <c r="K547" s="4"/>
      <c r="L547" s="4"/>
      <c r="M547" s="7"/>
      <c r="N547" s="7"/>
      <c r="O547" s="4"/>
      <c r="P547" s="4"/>
      <c r="Q547" s="4"/>
      <c r="R547" s="4"/>
      <c r="S547" s="16">
        <v>0.40295030252870923</v>
      </c>
    </row>
    <row r="548" spans="4:19" x14ac:dyDescent="0.25">
      <c r="D548" s="38">
        <v>0.55037204927668593</v>
      </c>
      <c r="E548" s="4"/>
      <c r="F548" s="4"/>
      <c r="G548" s="4"/>
      <c r="H548" s="4"/>
      <c r="I548" s="4"/>
      <c r="J548" s="4"/>
      <c r="K548" s="4"/>
      <c r="L548" s="4"/>
      <c r="M548" s="7"/>
      <c r="N548" s="7"/>
      <c r="O548" s="4"/>
      <c r="P548" s="4"/>
      <c r="Q548" s="4"/>
      <c r="R548" s="4"/>
      <c r="S548" s="16">
        <v>0.60558279487929545</v>
      </c>
    </row>
    <row r="549" spans="4:19" x14ac:dyDescent="0.25">
      <c r="D549" s="38">
        <v>0.30565784226032433</v>
      </c>
      <c r="E549" s="4"/>
      <c r="F549" s="4"/>
      <c r="G549" s="4"/>
      <c r="H549" s="4"/>
      <c r="I549" s="4"/>
      <c r="J549" s="4"/>
      <c r="K549" s="4"/>
      <c r="L549" s="4"/>
      <c r="M549" s="7"/>
      <c r="N549" s="7"/>
      <c r="O549" s="4"/>
      <c r="P549" s="4"/>
      <c r="Q549" s="4"/>
      <c r="R549" s="4"/>
      <c r="S549" s="16">
        <v>0.45935484190490272</v>
      </c>
    </row>
    <row r="550" spans="4:19" x14ac:dyDescent="0.25">
      <c r="D550" s="38">
        <v>0.78140214969863975</v>
      </c>
      <c r="E550" s="4"/>
      <c r="F550" s="4"/>
      <c r="G550" s="4"/>
      <c r="H550" s="4"/>
      <c r="I550" s="4"/>
      <c r="J550" s="4"/>
      <c r="K550" s="4"/>
      <c r="L550" s="4"/>
      <c r="M550" s="7"/>
      <c r="N550" s="7"/>
      <c r="O550" s="4"/>
      <c r="P550" s="4"/>
      <c r="Q550" s="4"/>
      <c r="R550" s="4"/>
      <c r="S550" s="16">
        <v>0.34367628447561693</v>
      </c>
    </row>
    <row r="551" spans="4:19" x14ac:dyDescent="0.25">
      <c r="D551" s="38">
        <v>0.30816191783884495</v>
      </c>
      <c r="E551" s="4"/>
      <c r="F551" s="4"/>
      <c r="G551" s="4"/>
      <c r="H551" s="4"/>
      <c r="I551" s="4"/>
      <c r="J551" s="4"/>
      <c r="K551" s="4"/>
      <c r="L551" s="4"/>
      <c r="M551" s="7"/>
      <c r="N551" s="7"/>
      <c r="O551" s="4"/>
      <c r="P551" s="4"/>
      <c r="Q551" s="4"/>
      <c r="R551" s="4"/>
      <c r="S551" s="16">
        <v>0.84725894425761183</v>
      </c>
    </row>
    <row r="552" spans="4:19" x14ac:dyDescent="0.25">
      <c r="D552" s="38">
        <v>0.8481994262704371</v>
      </c>
      <c r="E552" s="4"/>
      <c r="F552" s="4"/>
      <c r="G552" s="4"/>
      <c r="H552" s="4"/>
      <c r="I552" s="4"/>
      <c r="J552" s="4"/>
      <c r="K552" s="4"/>
      <c r="L552" s="4"/>
      <c r="M552" s="7"/>
      <c r="N552" s="7"/>
      <c r="O552" s="4"/>
      <c r="P552" s="4"/>
      <c r="Q552" s="4"/>
      <c r="R552" s="4"/>
      <c r="S552" s="16">
        <v>0.32955986795216974</v>
      </c>
    </row>
    <row r="553" spans="4:19" x14ac:dyDescent="0.25">
      <c r="D553" s="38">
        <v>0.47504167611728221</v>
      </c>
      <c r="E553" s="4"/>
      <c r="F553" s="4"/>
      <c r="G553" s="4"/>
      <c r="H553" s="4"/>
      <c r="I553" s="4"/>
      <c r="J553" s="4"/>
      <c r="K553" s="4"/>
      <c r="L553" s="4"/>
      <c r="M553" s="7"/>
      <c r="N553" s="7"/>
      <c r="O553" s="4"/>
      <c r="P553" s="4"/>
      <c r="Q553" s="4"/>
      <c r="R553" s="4"/>
      <c r="S553" s="16">
        <v>0.18965954671364527</v>
      </c>
    </row>
    <row r="554" spans="4:19" x14ac:dyDescent="0.25">
      <c r="D554" s="38">
        <v>0.40586910227139572</v>
      </c>
      <c r="E554" s="4"/>
      <c r="F554" s="4"/>
      <c r="G554" s="4"/>
      <c r="H554" s="4"/>
      <c r="I554" s="4"/>
      <c r="J554" s="4"/>
      <c r="K554" s="4"/>
      <c r="L554" s="4"/>
      <c r="M554" s="7"/>
      <c r="N554" s="7"/>
      <c r="O554" s="4"/>
      <c r="P554" s="4"/>
      <c r="Q554" s="4"/>
      <c r="R554" s="4"/>
      <c r="S554" s="16">
        <v>0.95720532336022779</v>
      </c>
    </row>
    <row r="555" spans="4:19" x14ac:dyDescent="0.25">
      <c r="D555" s="38">
        <v>0.90159973211669786</v>
      </c>
      <c r="E555" s="4"/>
      <c r="F555" s="4"/>
      <c r="G555" s="4"/>
      <c r="H555" s="4"/>
      <c r="I555" s="4"/>
      <c r="J555" s="4"/>
      <c r="K555" s="4"/>
      <c r="L555" s="4"/>
      <c r="M555" s="7"/>
      <c r="N555" s="7"/>
      <c r="O555" s="4"/>
      <c r="P555" s="4"/>
      <c r="Q555" s="4"/>
      <c r="R555" s="4"/>
      <c r="S555" s="16">
        <v>0.96939646577562988</v>
      </c>
    </row>
    <row r="556" spans="4:19" x14ac:dyDescent="0.25">
      <c r="D556" s="38">
        <v>0.50988971215791812</v>
      </c>
      <c r="E556" s="4"/>
      <c r="F556" s="4"/>
      <c r="G556" s="4"/>
      <c r="H556" s="4"/>
      <c r="I556" s="4"/>
      <c r="J556" s="4"/>
      <c r="K556" s="4"/>
      <c r="L556" s="4"/>
      <c r="M556" s="7"/>
      <c r="N556" s="7"/>
      <c r="O556" s="4"/>
      <c r="P556" s="4"/>
      <c r="Q556" s="4"/>
      <c r="R556" s="4"/>
      <c r="S556" s="16">
        <v>0.84520780796074291</v>
      </c>
    </row>
    <row r="557" spans="4:19" x14ac:dyDescent="0.25">
      <c r="D557" s="38">
        <v>7.0938477327380567E-2</v>
      </c>
      <c r="E557" s="4"/>
      <c r="F557" s="4"/>
      <c r="G557" s="4"/>
      <c r="H557" s="4"/>
      <c r="I557" s="4"/>
      <c r="J557" s="4"/>
      <c r="K557" s="4"/>
      <c r="L557" s="4"/>
      <c r="M557" s="7"/>
      <c r="N557" s="7"/>
      <c r="O557" s="4"/>
      <c r="P557" s="4"/>
      <c r="Q557" s="4"/>
      <c r="R557" s="4"/>
      <c r="S557" s="16">
        <v>0.40423416914739285</v>
      </c>
    </row>
    <row r="558" spans="4:19" x14ac:dyDescent="0.25">
      <c r="D558" s="38">
        <v>0.49688871532682466</v>
      </c>
      <c r="E558" s="4"/>
      <c r="F558" s="4"/>
      <c r="G558" s="4"/>
      <c r="H558" s="4"/>
      <c r="I558" s="4"/>
      <c r="J558" s="4"/>
      <c r="K558" s="4"/>
      <c r="L558" s="4"/>
      <c r="M558" s="7"/>
      <c r="N558" s="7"/>
      <c r="O558" s="4"/>
      <c r="P558" s="4"/>
      <c r="Q558" s="4"/>
      <c r="R558" s="4"/>
      <c r="S558" s="16">
        <v>0.58777544553171079</v>
      </c>
    </row>
    <row r="559" spans="4:19" x14ac:dyDescent="0.25">
      <c r="D559" s="38">
        <v>0.57091975651955384</v>
      </c>
      <c r="E559" s="4"/>
      <c r="F559" s="4"/>
      <c r="G559" s="4"/>
      <c r="H559" s="4"/>
      <c r="I559" s="4"/>
      <c r="J559" s="4"/>
      <c r="K559" s="4"/>
      <c r="L559" s="4"/>
      <c r="M559" s="7"/>
      <c r="N559" s="7"/>
      <c r="O559" s="4"/>
      <c r="P559" s="4"/>
      <c r="Q559" s="4"/>
      <c r="R559" s="4"/>
      <c r="S559" s="16">
        <v>0.32454755666716539</v>
      </c>
    </row>
    <row r="560" spans="4:19" x14ac:dyDescent="0.25">
      <c r="D560" s="38">
        <v>0.13284205448881337</v>
      </c>
      <c r="E560" s="4"/>
      <c r="F560" s="4"/>
      <c r="G560" s="4"/>
      <c r="H560" s="4"/>
      <c r="I560" s="4"/>
      <c r="J560" s="4"/>
      <c r="K560" s="4"/>
      <c r="L560" s="4"/>
      <c r="M560" s="7"/>
      <c r="N560" s="7"/>
      <c r="O560" s="4"/>
      <c r="P560" s="4"/>
      <c r="Q560" s="4"/>
      <c r="R560" s="4"/>
      <c r="S560" s="16">
        <v>0.7756423572572847</v>
      </c>
    </row>
    <row r="561" spans="4:19" x14ac:dyDescent="0.25">
      <c r="D561" s="38">
        <v>0.11785674138982971</v>
      </c>
      <c r="E561" s="4"/>
      <c r="F561" s="4"/>
      <c r="G561" s="4"/>
      <c r="H561" s="4"/>
      <c r="I561" s="4"/>
      <c r="J561" s="4"/>
      <c r="K561" s="4"/>
      <c r="L561" s="4"/>
      <c r="M561" s="7"/>
      <c r="N561" s="7"/>
      <c r="O561" s="4"/>
      <c r="P561" s="4"/>
      <c r="Q561" s="4"/>
      <c r="R561" s="4"/>
      <c r="S561" s="16">
        <v>9.9987581907626577E-2</v>
      </c>
    </row>
    <row r="562" spans="4:19" x14ac:dyDescent="0.25">
      <c r="D562" s="38">
        <v>8.0671380281276406E-2</v>
      </c>
      <c r="E562" s="4"/>
      <c r="F562" s="4"/>
      <c r="G562" s="4"/>
      <c r="H562" s="4"/>
      <c r="I562" s="4"/>
      <c r="J562" s="4"/>
      <c r="K562" s="4"/>
      <c r="L562" s="4"/>
      <c r="M562" s="7"/>
      <c r="N562" s="7"/>
      <c r="O562" s="4"/>
      <c r="P562" s="4"/>
      <c r="Q562" s="4"/>
      <c r="R562" s="4"/>
      <c r="S562" s="16">
        <v>0.34215412372414411</v>
      </c>
    </row>
    <row r="563" spans="4:19" x14ac:dyDescent="0.25">
      <c r="D563" s="38">
        <v>0.13730375134058881</v>
      </c>
      <c r="E563" s="4"/>
      <c r="F563" s="4"/>
      <c r="G563" s="4"/>
      <c r="H563" s="4"/>
      <c r="I563" s="4"/>
      <c r="J563" s="4"/>
      <c r="K563" s="4"/>
      <c r="L563" s="4"/>
      <c r="M563" s="7"/>
      <c r="N563" s="7"/>
      <c r="O563" s="4"/>
      <c r="P563" s="4"/>
      <c r="Q563" s="4"/>
      <c r="R563" s="4"/>
      <c r="S563" s="16">
        <v>0.79066771105123879</v>
      </c>
    </row>
    <row r="564" spans="4:19" x14ac:dyDescent="0.25">
      <c r="D564" s="38">
        <v>0.67568126006991136</v>
      </c>
      <c r="E564" s="4"/>
      <c r="F564" s="4"/>
      <c r="G564" s="4"/>
      <c r="H564" s="4"/>
      <c r="I564" s="4"/>
      <c r="J564" s="4"/>
      <c r="K564" s="4"/>
      <c r="L564" s="4"/>
      <c r="M564" s="7"/>
      <c r="N564" s="7"/>
      <c r="O564" s="4"/>
      <c r="P564" s="4"/>
      <c r="Q564" s="4"/>
      <c r="R564" s="4"/>
      <c r="S564" s="16">
        <v>0.32648002591132319</v>
      </c>
    </row>
    <row r="565" spans="4:19" x14ac:dyDescent="0.25">
      <c r="D565" s="38">
        <v>0.88780982743476944</v>
      </c>
      <c r="E565" s="4"/>
      <c r="F565" s="4"/>
      <c r="G565" s="4"/>
      <c r="H565" s="4"/>
      <c r="I565" s="4"/>
      <c r="J565" s="4"/>
      <c r="K565" s="4"/>
      <c r="L565" s="4"/>
      <c r="M565" s="7"/>
      <c r="N565" s="7"/>
      <c r="O565" s="4"/>
      <c r="P565" s="4"/>
      <c r="Q565" s="4"/>
      <c r="R565" s="4"/>
      <c r="S565" s="16">
        <v>3.4652950433764484E-3</v>
      </c>
    </row>
    <row r="566" spans="4:19" x14ac:dyDescent="0.25">
      <c r="D566" s="38">
        <v>0.69165255938793579</v>
      </c>
      <c r="E566" s="4"/>
      <c r="F566" s="4"/>
      <c r="G566" s="4"/>
      <c r="H566" s="4"/>
      <c r="I566" s="4"/>
      <c r="J566" s="4"/>
      <c r="K566" s="4"/>
      <c r="L566" s="4"/>
      <c r="M566" s="7"/>
      <c r="N566" s="7"/>
      <c r="O566" s="4"/>
      <c r="P566" s="4"/>
      <c r="Q566" s="4"/>
      <c r="R566" s="4"/>
      <c r="S566" s="16">
        <v>0.40065464287633457</v>
      </c>
    </row>
    <row r="567" spans="4:19" x14ac:dyDescent="0.25">
      <c r="D567" s="38">
        <v>0.68173781577036685</v>
      </c>
      <c r="E567" s="4"/>
      <c r="F567" s="4"/>
      <c r="G567" s="4"/>
      <c r="H567" s="4"/>
      <c r="I567" s="4"/>
      <c r="J567" s="4"/>
      <c r="K567" s="4"/>
      <c r="L567" s="4"/>
      <c r="M567" s="7"/>
      <c r="N567" s="7"/>
      <c r="O567" s="4"/>
      <c r="P567" s="4"/>
      <c r="Q567" s="4"/>
      <c r="R567" s="4"/>
      <c r="S567" s="16">
        <v>0.15587763467689753</v>
      </c>
    </row>
    <row r="568" spans="4:19" x14ac:dyDescent="0.25">
      <c r="D568" s="38">
        <v>0.60615751371119486</v>
      </c>
      <c r="E568" s="4"/>
      <c r="F568" s="4"/>
      <c r="G568" s="4"/>
      <c r="H568" s="4"/>
      <c r="I568" s="4"/>
      <c r="J568" s="4"/>
      <c r="K568" s="4"/>
      <c r="L568" s="4"/>
      <c r="M568" s="7"/>
      <c r="N568" s="7"/>
      <c r="O568" s="4"/>
      <c r="P568" s="4"/>
      <c r="Q568" s="4"/>
      <c r="R568" s="4"/>
      <c r="S568" s="16">
        <v>8.023135629006739E-2</v>
      </c>
    </row>
    <row r="569" spans="4:19" x14ac:dyDescent="0.25">
      <c r="D569" s="38">
        <v>0.48107144645179167</v>
      </c>
      <c r="E569" s="4"/>
      <c r="F569" s="4"/>
      <c r="G569" s="4"/>
      <c r="H569" s="4"/>
      <c r="I569" s="4"/>
      <c r="J569" s="4"/>
      <c r="K569" s="4"/>
      <c r="L569" s="4"/>
      <c r="M569" s="7"/>
      <c r="N569" s="7"/>
      <c r="O569" s="4"/>
      <c r="P569" s="4"/>
      <c r="Q569" s="4"/>
      <c r="R569" s="4"/>
      <c r="S569" s="16">
        <v>0.63733685862860046</v>
      </c>
    </row>
    <row r="570" spans="4:19" x14ac:dyDescent="0.25">
      <c r="D570" s="38">
        <v>0.87467652493884507</v>
      </c>
      <c r="E570" s="4"/>
      <c r="F570" s="4"/>
      <c r="G570" s="4"/>
      <c r="H570" s="4"/>
      <c r="I570" s="4"/>
      <c r="J570" s="4"/>
      <c r="K570" s="4"/>
      <c r="L570" s="4"/>
      <c r="M570" s="7"/>
      <c r="N570" s="7"/>
      <c r="O570" s="4"/>
      <c r="P570" s="4"/>
      <c r="Q570" s="4"/>
      <c r="R570" s="4"/>
      <c r="S570" s="16">
        <v>0.47293471373182772</v>
      </c>
    </row>
    <row r="571" spans="4:19" x14ac:dyDescent="0.25">
      <c r="D571" s="38">
        <v>0.84529789298671143</v>
      </c>
      <c r="E571" s="4"/>
      <c r="F571" s="4"/>
      <c r="G571" s="4"/>
      <c r="H571" s="4"/>
      <c r="I571" s="4"/>
      <c r="J571" s="4"/>
      <c r="K571" s="4"/>
      <c r="L571" s="4"/>
      <c r="M571" s="7"/>
      <c r="N571" s="7"/>
      <c r="O571" s="4"/>
      <c r="P571" s="4"/>
      <c r="Q571" s="4"/>
      <c r="R571" s="4"/>
      <c r="S571" s="16">
        <v>0.70250318935202327</v>
      </c>
    </row>
    <row r="572" spans="4:19" x14ac:dyDescent="0.25">
      <c r="D572" s="38">
        <v>0.39800554919727194</v>
      </c>
      <c r="E572" s="4"/>
      <c r="F572" s="4"/>
      <c r="G572" s="4"/>
      <c r="H572" s="4"/>
      <c r="I572" s="4"/>
      <c r="J572" s="4"/>
      <c r="K572" s="4"/>
      <c r="L572" s="4"/>
      <c r="M572" s="7"/>
      <c r="N572" s="7"/>
      <c r="O572" s="4"/>
      <c r="P572" s="4"/>
      <c r="Q572" s="4"/>
      <c r="R572" s="4"/>
      <c r="S572" s="16">
        <v>0.45124553293496772</v>
      </c>
    </row>
    <row r="573" spans="4:19" x14ac:dyDescent="0.25">
      <c r="D573" s="38">
        <v>0.17971838220320802</v>
      </c>
      <c r="E573" s="4"/>
      <c r="F573" s="4"/>
      <c r="G573" s="4"/>
      <c r="H573" s="4"/>
      <c r="I573" s="4"/>
      <c r="J573" s="4"/>
      <c r="K573" s="4"/>
      <c r="L573" s="4"/>
      <c r="M573" s="7"/>
      <c r="N573" s="7"/>
      <c r="O573" s="4"/>
      <c r="P573" s="4"/>
      <c r="Q573" s="4"/>
      <c r="R573" s="4"/>
      <c r="S573" s="16">
        <v>0.28489974970059151</v>
      </c>
    </row>
    <row r="574" spans="4:19" x14ac:dyDescent="0.25">
      <c r="D574" s="38">
        <v>0.79309806921495252</v>
      </c>
      <c r="E574" s="4"/>
      <c r="F574" s="4"/>
      <c r="G574" s="4"/>
      <c r="H574" s="4"/>
      <c r="I574" s="4"/>
      <c r="J574" s="4"/>
      <c r="K574" s="4"/>
      <c r="L574" s="4"/>
      <c r="M574" s="7"/>
      <c r="N574" s="7"/>
      <c r="O574" s="4"/>
      <c r="P574" s="4"/>
      <c r="Q574" s="4"/>
      <c r="R574" s="4"/>
      <c r="S574" s="16">
        <v>0.54139326140363675</v>
      </c>
    </row>
    <row r="575" spans="4:19" x14ac:dyDescent="0.25">
      <c r="D575" s="38">
        <v>0.87330802849766442</v>
      </c>
      <c r="E575" s="4"/>
      <c r="F575" s="4"/>
      <c r="G575" s="4"/>
      <c r="H575" s="4"/>
      <c r="I575" s="4"/>
      <c r="J575" s="4"/>
      <c r="K575" s="4"/>
      <c r="L575" s="4"/>
      <c r="M575" s="7"/>
      <c r="N575" s="7"/>
      <c r="O575" s="4"/>
      <c r="P575" s="4"/>
      <c r="Q575" s="4"/>
      <c r="R575" s="4"/>
      <c r="S575" s="16">
        <v>3.4166696265130136E-2</v>
      </c>
    </row>
    <row r="576" spans="4:19" x14ac:dyDescent="0.25">
      <c r="D576" s="38">
        <v>0.63081779957731243</v>
      </c>
      <c r="E576" s="4"/>
      <c r="F576" s="4"/>
      <c r="G576" s="4"/>
      <c r="H576" s="4"/>
      <c r="I576" s="4"/>
      <c r="J576" s="4"/>
      <c r="K576" s="4"/>
      <c r="L576" s="4"/>
      <c r="M576" s="7"/>
      <c r="N576" s="7"/>
      <c r="O576" s="4"/>
      <c r="P576" s="4"/>
      <c r="Q576" s="4"/>
      <c r="R576" s="4"/>
      <c r="S576" s="16">
        <v>0.46872925263361198</v>
      </c>
    </row>
    <row r="577" spans="4:19" x14ac:dyDescent="0.25">
      <c r="D577" s="38">
        <v>0.61485654572621096</v>
      </c>
      <c r="E577" s="4"/>
      <c r="F577" s="4"/>
      <c r="G577" s="4"/>
      <c r="H577" s="4"/>
      <c r="I577" s="4"/>
      <c r="J577" s="4"/>
      <c r="K577" s="4"/>
      <c r="L577" s="4"/>
      <c r="M577" s="7"/>
      <c r="N577" s="7"/>
      <c r="O577" s="4"/>
      <c r="P577" s="4"/>
      <c r="Q577" s="4"/>
      <c r="R577" s="4"/>
      <c r="S577" s="16">
        <v>0.69262526364581489</v>
      </c>
    </row>
    <row r="578" spans="4:19" x14ac:dyDescent="0.25">
      <c r="D578" s="38">
        <v>0.54154673424890831</v>
      </c>
      <c r="E578" s="4"/>
      <c r="F578" s="4"/>
      <c r="G578" s="4"/>
      <c r="H578" s="4"/>
      <c r="I578" s="4"/>
      <c r="J578" s="4"/>
      <c r="K578" s="4"/>
      <c r="L578" s="4"/>
      <c r="M578" s="7"/>
      <c r="N578" s="7"/>
      <c r="O578" s="4"/>
      <c r="P578" s="4"/>
      <c r="Q578" s="4"/>
      <c r="R578" s="4"/>
      <c r="S578" s="16">
        <v>0.20898535436881949</v>
      </c>
    </row>
    <row r="579" spans="4:19" x14ac:dyDescent="0.25">
      <c r="D579" s="38">
        <v>0.3061053737411088</v>
      </c>
      <c r="E579" s="4"/>
      <c r="F579" s="4"/>
      <c r="G579" s="4"/>
      <c r="H579" s="4"/>
      <c r="I579" s="4"/>
      <c r="J579" s="4"/>
      <c r="K579" s="4"/>
      <c r="L579" s="4"/>
      <c r="M579" s="7"/>
      <c r="N579" s="7"/>
      <c r="O579" s="4"/>
      <c r="P579" s="4"/>
      <c r="Q579" s="4"/>
      <c r="R579" s="4"/>
      <c r="S579" s="16">
        <v>0.6186063653724243</v>
      </c>
    </row>
    <row r="580" spans="4:19" x14ac:dyDescent="0.25">
      <c r="D580" s="38">
        <v>0.79440030604179279</v>
      </c>
      <c r="E580" s="4"/>
      <c r="F580" s="4"/>
      <c r="G580" s="4"/>
      <c r="H580" s="4"/>
      <c r="I580" s="4"/>
      <c r="J580" s="4"/>
      <c r="K580" s="4"/>
      <c r="L580" s="4"/>
      <c r="M580" s="7"/>
      <c r="N580" s="7"/>
      <c r="O580" s="4"/>
      <c r="P580" s="4"/>
      <c r="Q580" s="4"/>
      <c r="R580" s="4"/>
      <c r="S580" s="16">
        <v>0.82159216813625557</v>
      </c>
    </row>
    <row r="581" spans="4:19" x14ac:dyDescent="0.25">
      <c r="D581" s="38">
        <v>0.36358242643285998</v>
      </c>
      <c r="E581" s="4"/>
      <c r="F581" s="4"/>
      <c r="G581" s="4"/>
      <c r="H581" s="4"/>
      <c r="I581" s="4"/>
      <c r="J581" s="4"/>
      <c r="K581" s="4"/>
      <c r="L581" s="4"/>
      <c r="M581" s="7"/>
      <c r="N581" s="7"/>
      <c r="O581" s="4"/>
      <c r="P581" s="4"/>
      <c r="Q581" s="4"/>
      <c r="R581" s="4"/>
      <c r="S581" s="16">
        <v>0.63555669118428437</v>
      </c>
    </row>
    <row r="582" spans="4:19" x14ac:dyDescent="0.25">
      <c r="D582" s="38">
        <v>0.81277519557285094</v>
      </c>
      <c r="E582" s="4"/>
      <c r="F582" s="4"/>
      <c r="G582" s="4"/>
      <c r="H582" s="4"/>
      <c r="I582" s="4"/>
      <c r="J582" s="4"/>
      <c r="K582" s="4"/>
      <c r="L582" s="4"/>
      <c r="M582" s="7"/>
      <c r="N582" s="7"/>
      <c r="O582" s="4"/>
      <c r="P582" s="4"/>
      <c r="Q582" s="4"/>
      <c r="R582" s="4"/>
      <c r="S582" s="16">
        <v>0.86270367362266043</v>
      </c>
    </row>
    <row r="583" spans="4:19" x14ac:dyDescent="0.25">
      <c r="D583" s="38">
        <v>0.80184586951642567</v>
      </c>
      <c r="E583" s="4"/>
      <c r="F583" s="4"/>
      <c r="G583" s="4"/>
      <c r="H583" s="4"/>
      <c r="I583" s="4"/>
      <c r="J583" s="4"/>
      <c r="K583" s="4"/>
      <c r="L583" s="4"/>
      <c r="M583" s="7"/>
      <c r="N583" s="7"/>
      <c r="O583" s="4"/>
      <c r="P583" s="4"/>
      <c r="Q583" s="4"/>
      <c r="R583" s="4"/>
      <c r="S583" s="16">
        <v>9.6913732610255598E-2</v>
      </c>
    </row>
    <row r="584" spans="4:19" x14ac:dyDescent="0.25">
      <c r="D584" s="38">
        <v>0.18330884187982155</v>
      </c>
      <c r="E584" s="4"/>
      <c r="F584" s="4"/>
      <c r="G584" s="4"/>
      <c r="H584" s="4"/>
      <c r="I584" s="4"/>
      <c r="J584" s="4"/>
      <c r="K584" s="4"/>
      <c r="L584" s="4"/>
      <c r="M584" s="7"/>
      <c r="N584" s="7"/>
      <c r="O584" s="4"/>
      <c r="P584" s="4"/>
      <c r="Q584" s="4"/>
      <c r="R584" s="4"/>
      <c r="S584" s="16">
        <v>7.3116352856252398E-2</v>
      </c>
    </row>
    <row r="585" spans="4:19" x14ac:dyDescent="0.25">
      <c r="D585" s="38">
        <v>0.52640776812039147</v>
      </c>
      <c r="E585" s="4"/>
      <c r="F585" s="4"/>
      <c r="G585" s="4"/>
      <c r="H585" s="4"/>
      <c r="I585" s="4"/>
      <c r="J585" s="4"/>
      <c r="K585" s="4"/>
      <c r="L585" s="4"/>
      <c r="M585" s="7"/>
      <c r="N585" s="7"/>
      <c r="O585" s="4"/>
      <c r="P585" s="4"/>
      <c r="Q585" s="4"/>
      <c r="R585" s="4"/>
      <c r="S585" s="16">
        <v>0.4191790438283417</v>
      </c>
    </row>
    <row r="586" spans="4:19" x14ac:dyDescent="0.25">
      <c r="D586" s="38">
        <v>0.73493239936107468</v>
      </c>
      <c r="E586" s="4"/>
      <c r="F586" s="4"/>
      <c r="G586" s="4"/>
      <c r="H586" s="4"/>
      <c r="I586" s="4"/>
      <c r="J586" s="4"/>
      <c r="K586" s="4"/>
      <c r="L586" s="4"/>
      <c r="M586" s="7"/>
      <c r="N586" s="7"/>
      <c r="O586" s="4"/>
      <c r="P586" s="4"/>
      <c r="Q586" s="4"/>
      <c r="R586" s="4"/>
      <c r="S586" s="16">
        <v>0.12777317123311849</v>
      </c>
    </row>
    <row r="587" spans="4:19" x14ac:dyDescent="0.25">
      <c r="D587" s="38">
        <v>0.31525122053080845</v>
      </c>
      <c r="E587" s="4"/>
      <c r="F587" s="4"/>
      <c r="G587" s="4"/>
      <c r="H587" s="4"/>
      <c r="I587" s="4"/>
      <c r="J587" s="4"/>
      <c r="K587" s="4"/>
      <c r="L587" s="4"/>
      <c r="M587" s="7"/>
      <c r="N587" s="7"/>
      <c r="O587" s="4"/>
      <c r="P587" s="4"/>
      <c r="Q587" s="4"/>
      <c r="R587" s="4"/>
      <c r="S587" s="16">
        <v>0.67496810187337308</v>
      </c>
    </row>
    <row r="588" spans="4:19" x14ac:dyDescent="0.25">
      <c r="D588" s="38">
        <v>0.49470848717483284</v>
      </c>
      <c r="E588" s="4"/>
      <c r="F588" s="4"/>
      <c r="G588" s="4"/>
      <c r="H588" s="4"/>
      <c r="I588" s="4"/>
      <c r="J588" s="4"/>
      <c r="K588" s="4"/>
      <c r="L588" s="4"/>
      <c r="M588" s="7"/>
      <c r="N588" s="7"/>
      <c r="O588" s="4"/>
      <c r="P588" s="4"/>
      <c r="Q588" s="4"/>
      <c r="R588" s="4"/>
      <c r="S588" s="16">
        <v>0.21062638056227678</v>
      </c>
    </row>
    <row r="589" spans="4:19" x14ac:dyDescent="0.25">
      <c r="D589" s="38">
        <v>5.564860010899797E-2</v>
      </c>
      <c r="E589" s="4"/>
      <c r="F589" s="4"/>
      <c r="G589" s="4"/>
      <c r="H589" s="4"/>
      <c r="I589" s="4"/>
      <c r="J589" s="4"/>
      <c r="K589" s="4"/>
      <c r="L589" s="4"/>
      <c r="M589" s="7"/>
      <c r="N589" s="7"/>
      <c r="O589" s="4"/>
      <c r="P589" s="4"/>
      <c r="Q589" s="4"/>
      <c r="R589" s="4"/>
      <c r="S589" s="16">
        <v>0.64056573675969131</v>
      </c>
    </row>
    <row r="590" spans="4:19" x14ac:dyDescent="0.25">
      <c r="D590" s="38">
        <v>0.16592647330731258</v>
      </c>
      <c r="E590" s="4"/>
      <c r="F590" s="4"/>
      <c r="G590" s="4"/>
      <c r="H590" s="4"/>
      <c r="I590" s="4"/>
      <c r="J590" s="4"/>
      <c r="K590" s="4"/>
      <c r="L590" s="4"/>
      <c r="M590" s="7"/>
      <c r="N590" s="7"/>
      <c r="O590" s="4"/>
      <c r="P590" s="4"/>
      <c r="Q590" s="4"/>
      <c r="R590" s="4"/>
      <c r="S590" s="16">
        <v>0.7673928606657352</v>
      </c>
    </row>
    <row r="591" spans="4:19" x14ac:dyDescent="0.25">
      <c r="D591" s="38">
        <v>0.34900928765065464</v>
      </c>
      <c r="E591" s="4"/>
      <c r="F591" s="4"/>
      <c r="G591" s="4"/>
      <c r="H591" s="4"/>
      <c r="I591" s="4"/>
      <c r="J591" s="4"/>
      <c r="K591" s="4"/>
      <c r="L591" s="4"/>
      <c r="M591" s="7"/>
      <c r="N591" s="7"/>
      <c r="O591" s="4"/>
      <c r="P591" s="4"/>
      <c r="Q591" s="4"/>
      <c r="R591" s="4"/>
      <c r="S591" s="16">
        <v>0.23346834690172014</v>
      </c>
    </row>
    <row r="592" spans="4:19" x14ac:dyDescent="0.25">
      <c r="D592" s="38">
        <v>0.42925086851428462</v>
      </c>
      <c r="E592" s="4"/>
      <c r="F592" s="4"/>
      <c r="G592" s="4"/>
      <c r="H592" s="4"/>
      <c r="I592" s="4"/>
      <c r="J592" s="4"/>
      <c r="K592" s="4"/>
      <c r="L592" s="4"/>
      <c r="M592" s="7"/>
      <c r="N592" s="7"/>
      <c r="O592" s="4"/>
      <c r="P592" s="4"/>
      <c r="Q592" s="4"/>
      <c r="R592" s="4"/>
      <c r="S592" s="16">
        <v>0.9893087222233945</v>
      </c>
    </row>
    <row r="593" spans="4:19" x14ac:dyDescent="0.25">
      <c r="D593" s="38">
        <v>0.72680151767203305</v>
      </c>
      <c r="E593" s="4"/>
      <c r="F593" s="4"/>
      <c r="G593" s="4"/>
      <c r="H593" s="4"/>
      <c r="I593" s="4"/>
      <c r="J593" s="4"/>
      <c r="K593" s="4"/>
      <c r="L593" s="4"/>
      <c r="M593" s="7"/>
      <c r="N593" s="7"/>
      <c r="O593" s="4"/>
      <c r="P593" s="4"/>
      <c r="Q593" s="4"/>
      <c r="R593" s="4"/>
      <c r="S593" s="16">
        <v>8.9520964464422592E-2</v>
      </c>
    </row>
    <row r="594" spans="4:19" x14ac:dyDescent="0.25">
      <c r="D594" s="38">
        <v>0.2861822763198445</v>
      </c>
      <c r="E594" s="4"/>
      <c r="F594" s="4"/>
      <c r="G594" s="4"/>
      <c r="H594" s="4"/>
      <c r="I594" s="4"/>
      <c r="J594" s="4"/>
      <c r="K594" s="4"/>
      <c r="L594" s="4"/>
      <c r="M594" s="7"/>
      <c r="N594" s="7"/>
      <c r="O594" s="4"/>
      <c r="P594" s="4"/>
      <c r="Q594" s="4"/>
      <c r="R594" s="4"/>
      <c r="S594" s="16">
        <v>0.89145431606754233</v>
      </c>
    </row>
    <row r="595" spans="4:19" x14ac:dyDescent="0.25">
      <c r="D595" s="38">
        <v>0.98247982661464173</v>
      </c>
      <c r="E595" s="4"/>
      <c r="F595" s="4"/>
      <c r="G595" s="4"/>
      <c r="H595" s="4"/>
      <c r="I595" s="4"/>
      <c r="J595" s="4"/>
      <c r="K595" s="4"/>
      <c r="L595" s="4"/>
      <c r="M595" s="7"/>
      <c r="N595" s="7"/>
      <c r="O595" s="4"/>
      <c r="P595" s="4"/>
      <c r="Q595" s="4"/>
      <c r="R595" s="4"/>
      <c r="S595" s="16">
        <v>0.21628206064711453</v>
      </c>
    </row>
    <row r="596" spans="4:19" x14ac:dyDescent="0.25">
      <c r="D596" s="38">
        <v>0.29416306653953594</v>
      </c>
      <c r="E596" s="4"/>
      <c r="F596" s="4"/>
      <c r="G596" s="4"/>
      <c r="H596" s="4"/>
      <c r="I596" s="4"/>
      <c r="J596" s="4"/>
      <c r="K596" s="4"/>
      <c r="L596" s="4"/>
      <c r="M596" s="7"/>
      <c r="N596" s="7"/>
      <c r="O596" s="4"/>
      <c r="P596" s="4"/>
      <c r="Q596" s="4"/>
      <c r="R596" s="4"/>
      <c r="S596" s="16">
        <v>0.69532981042870323</v>
      </c>
    </row>
    <row r="597" spans="4:19" x14ac:dyDescent="0.25">
      <c r="D597" s="38">
        <v>0.27553885019377733</v>
      </c>
      <c r="E597" s="4"/>
      <c r="F597" s="4"/>
      <c r="G597" s="4"/>
      <c r="H597" s="4"/>
      <c r="I597" s="4"/>
      <c r="J597" s="4"/>
      <c r="K597" s="4"/>
      <c r="L597" s="4"/>
      <c r="M597" s="7"/>
      <c r="N597" s="7"/>
      <c r="O597" s="4"/>
      <c r="P597" s="4"/>
      <c r="Q597" s="4"/>
      <c r="R597" s="4"/>
      <c r="S597" s="16">
        <v>0.81453700854352706</v>
      </c>
    </row>
    <row r="598" spans="4:19" x14ac:dyDescent="0.25">
      <c r="D598" s="38">
        <v>0.27663265905616008</v>
      </c>
      <c r="E598" s="4"/>
      <c r="F598" s="4"/>
      <c r="G598" s="4"/>
      <c r="H598" s="4"/>
      <c r="I598" s="4"/>
      <c r="J598" s="4"/>
      <c r="K598" s="4"/>
      <c r="L598" s="4"/>
      <c r="M598" s="7"/>
      <c r="N598" s="7"/>
      <c r="O598" s="4"/>
      <c r="P598" s="4"/>
      <c r="Q598" s="4"/>
      <c r="R598" s="4"/>
      <c r="S598" s="16">
        <v>0.87422013542693455</v>
      </c>
    </row>
    <row r="599" spans="4:19" x14ac:dyDescent="0.25">
      <c r="D599" s="38">
        <v>0.1331788412139806</v>
      </c>
      <c r="E599" s="4"/>
      <c r="F599" s="4"/>
      <c r="G599" s="4"/>
      <c r="H599" s="4"/>
      <c r="I599" s="4"/>
      <c r="J599" s="4"/>
      <c r="K599" s="4"/>
      <c r="L599" s="4"/>
      <c r="M599" s="7"/>
      <c r="N599" s="7"/>
      <c r="O599" s="4"/>
      <c r="P599" s="4"/>
      <c r="Q599" s="4"/>
      <c r="R599" s="4"/>
      <c r="S599" s="16">
        <v>0.13108289032656795</v>
      </c>
    </row>
    <row r="600" spans="4:19" x14ac:dyDescent="0.25">
      <c r="D600" s="38">
        <v>0.33976160625104868</v>
      </c>
      <c r="E600" s="4"/>
      <c r="F600" s="4"/>
      <c r="G600" s="4"/>
      <c r="H600" s="4"/>
      <c r="I600" s="4"/>
      <c r="J600" s="4"/>
      <c r="K600" s="4"/>
      <c r="L600" s="4"/>
      <c r="M600" s="7"/>
      <c r="N600" s="7"/>
      <c r="O600" s="4"/>
      <c r="P600" s="4"/>
      <c r="Q600" s="4"/>
      <c r="R600" s="4"/>
      <c r="S600" s="16">
        <v>1.51559285741798E-3</v>
      </c>
    </row>
    <row r="601" spans="4:19" x14ac:dyDescent="0.25">
      <c r="D601" s="38">
        <v>0.71877114767452399</v>
      </c>
      <c r="E601" s="4"/>
      <c r="F601" s="4"/>
      <c r="G601" s="4"/>
      <c r="H601" s="4"/>
      <c r="I601" s="4"/>
      <c r="J601" s="4"/>
      <c r="K601" s="4"/>
      <c r="L601" s="4"/>
      <c r="M601" s="7"/>
      <c r="N601" s="7"/>
      <c r="O601" s="4"/>
      <c r="P601" s="4"/>
      <c r="Q601" s="4"/>
      <c r="R601" s="4"/>
      <c r="S601" s="16">
        <v>0.27532699114392567</v>
      </c>
    </row>
    <row r="602" spans="4:19" x14ac:dyDescent="0.25">
      <c r="D602" s="38">
        <v>0.33174046408328028</v>
      </c>
      <c r="E602" s="4"/>
      <c r="F602" s="4"/>
      <c r="G602" s="4"/>
      <c r="H602" s="4"/>
      <c r="I602" s="4"/>
      <c r="J602" s="4"/>
      <c r="K602" s="4"/>
      <c r="L602" s="4"/>
      <c r="M602" s="7"/>
      <c r="N602" s="7"/>
      <c r="O602" s="4"/>
      <c r="P602" s="4"/>
      <c r="Q602" s="4"/>
      <c r="R602" s="4"/>
      <c r="S602" s="16">
        <v>0.68163202179455862</v>
      </c>
    </row>
    <row r="603" spans="4:19" x14ac:dyDescent="0.25">
      <c r="D603" s="38">
        <v>0.91859531437839315</v>
      </c>
      <c r="E603" s="4"/>
      <c r="F603" s="4"/>
      <c r="G603" s="4"/>
      <c r="H603" s="4"/>
      <c r="I603" s="4"/>
      <c r="J603" s="4"/>
      <c r="K603" s="4"/>
      <c r="L603" s="4"/>
      <c r="M603" s="7"/>
      <c r="N603" s="7"/>
      <c r="O603" s="4"/>
      <c r="P603" s="4"/>
      <c r="Q603" s="4"/>
      <c r="R603" s="4"/>
      <c r="S603" s="16">
        <v>0.11641426120249043</v>
      </c>
    </row>
    <row r="604" spans="4:19" x14ac:dyDescent="0.25">
      <c r="D604" s="38">
        <v>0.51003902226701237</v>
      </c>
      <c r="E604" s="4"/>
      <c r="F604" s="4"/>
      <c r="G604" s="4"/>
      <c r="H604" s="4"/>
      <c r="I604" s="4"/>
      <c r="J604" s="4"/>
      <c r="K604" s="4"/>
      <c r="L604" s="4"/>
      <c r="M604" s="7"/>
      <c r="N604" s="7"/>
      <c r="O604" s="4"/>
      <c r="P604" s="4"/>
      <c r="Q604" s="4"/>
      <c r="R604" s="4"/>
      <c r="S604" s="16">
        <v>0.83767800096729883</v>
      </c>
    </row>
    <row r="605" spans="4:19" x14ac:dyDescent="0.25">
      <c r="D605" s="38">
        <v>0.33581453735768507</v>
      </c>
      <c r="E605" s="4"/>
      <c r="F605" s="4"/>
      <c r="G605" s="4"/>
      <c r="H605" s="4"/>
      <c r="I605" s="4"/>
      <c r="J605" s="4"/>
      <c r="K605" s="4"/>
      <c r="L605" s="4"/>
      <c r="M605" s="7"/>
      <c r="N605" s="7"/>
      <c r="O605" s="4"/>
      <c r="P605" s="4"/>
      <c r="Q605" s="4"/>
      <c r="R605" s="4"/>
      <c r="S605" s="16">
        <v>2.0221975412926252E-2</v>
      </c>
    </row>
    <row r="606" spans="4:19" x14ac:dyDescent="0.25">
      <c r="D606" s="38">
        <v>0.27013485880135857</v>
      </c>
      <c r="E606" s="4"/>
      <c r="F606" s="4"/>
      <c r="G606" s="4"/>
      <c r="H606" s="4"/>
      <c r="I606" s="4"/>
      <c r="J606" s="4"/>
      <c r="K606" s="4"/>
      <c r="L606" s="4"/>
      <c r="M606" s="7"/>
      <c r="N606" s="7"/>
      <c r="O606" s="4"/>
      <c r="P606" s="4"/>
      <c r="Q606" s="4"/>
      <c r="R606" s="4"/>
      <c r="S606" s="16">
        <v>0.93441129423895575</v>
      </c>
    </row>
    <row r="607" spans="4:19" x14ac:dyDescent="0.25">
      <c r="D607" s="38">
        <v>0.76676271163332521</v>
      </c>
      <c r="E607" s="4"/>
      <c r="F607" s="4"/>
      <c r="G607" s="4"/>
      <c r="H607" s="4"/>
      <c r="I607" s="4"/>
      <c r="J607" s="4"/>
      <c r="K607" s="4"/>
      <c r="L607" s="4"/>
      <c r="M607" s="7"/>
      <c r="N607" s="7"/>
      <c r="O607" s="4"/>
      <c r="P607" s="4"/>
      <c r="Q607" s="4"/>
      <c r="R607" s="4"/>
      <c r="S607" s="16">
        <v>0.42662409968505943</v>
      </c>
    </row>
    <row r="608" spans="4:19" x14ac:dyDescent="0.25">
      <c r="D608" s="38">
        <v>0.33452593312098844</v>
      </c>
      <c r="E608" s="4"/>
      <c r="F608" s="4"/>
      <c r="G608" s="4"/>
      <c r="H608" s="4"/>
      <c r="I608" s="4"/>
      <c r="J608" s="4"/>
      <c r="K608" s="4"/>
      <c r="L608" s="4"/>
      <c r="M608" s="7"/>
      <c r="N608" s="7"/>
      <c r="O608" s="4"/>
      <c r="P608" s="4"/>
      <c r="Q608" s="4"/>
      <c r="R608" s="4"/>
      <c r="S608" s="16">
        <v>0.84386380648192716</v>
      </c>
    </row>
    <row r="609" spans="4:19" x14ac:dyDescent="0.25">
      <c r="D609" s="38">
        <v>0.38373109849475862</v>
      </c>
      <c r="E609" s="4"/>
      <c r="F609" s="4"/>
      <c r="G609" s="4"/>
      <c r="H609" s="4"/>
      <c r="I609" s="4"/>
      <c r="J609" s="4"/>
      <c r="K609" s="4"/>
      <c r="L609" s="4"/>
      <c r="M609" s="7"/>
      <c r="N609" s="7"/>
      <c r="O609" s="4"/>
      <c r="P609" s="4"/>
      <c r="Q609" s="4"/>
      <c r="R609" s="4"/>
      <c r="S609" s="16">
        <v>0.29227348182360269</v>
      </c>
    </row>
    <row r="610" spans="4:19" x14ac:dyDescent="0.25">
      <c r="D610" s="38">
        <v>0.89026526050781596</v>
      </c>
      <c r="E610" s="4"/>
      <c r="F610" s="4"/>
      <c r="G610" s="4"/>
      <c r="H610" s="4"/>
      <c r="I610" s="4"/>
      <c r="J610" s="4"/>
      <c r="K610" s="4"/>
      <c r="L610" s="4"/>
      <c r="M610" s="7"/>
      <c r="N610" s="7"/>
      <c r="O610" s="4"/>
      <c r="P610" s="4"/>
      <c r="Q610" s="4"/>
      <c r="R610" s="4"/>
      <c r="S610" s="16">
        <v>0.18788560157232781</v>
      </c>
    </row>
    <row r="611" spans="4:19" x14ac:dyDescent="0.25">
      <c r="D611" s="38">
        <v>0.17072008433733343</v>
      </c>
      <c r="E611" s="4"/>
      <c r="F611" s="4"/>
      <c r="G611" s="4"/>
      <c r="H611" s="4"/>
      <c r="I611" s="4"/>
      <c r="J611" s="4"/>
      <c r="K611" s="4"/>
      <c r="L611" s="4"/>
      <c r="M611" s="7"/>
      <c r="N611" s="7"/>
      <c r="O611" s="4"/>
      <c r="P611" s="4"/>
      <c r="Q611" s="4"/>
      <c r="R611" s="4"/>
      <c r="S611" s="16">
        <v>0.70469551269876751</v>
      </c>
    </row>
    <row r="612" spans="4:19" x14ac:dyDescent="0.25">
      <c r="D612" s="38">
        <v>0.67647235163746</v>
      </c>
      <c r="E612" s="4"/>
      <c r="F612" s="4"/>
      <c r="G612" s="4"/>
      <c r="H612" s="4"/>
      <c r="I612" s="4"/>
      <c r="J612" s="4"/>
      <c r="K612" s="4"/>
      <c r="L612" s="4"/>
      <c r="M612" s="7"/>
      <c r="N612" s="7"/>
      <c r="O612" s="4"/>
      <c r="P612" s="4"/>
      <c r="Q612" s="4"/>
      <c r="R612" s="4"/>
      <c r="S612" s="16">
        <v>0.37450775445026074</v>
      </c>
    </row>
    <row r="613" spans="4:19" x14ac:dyDescent="0.25">
      <c r="D613" s="38">
        <v>0.18279220661050233</v>
      </c>
      <c r="E613" s="4"/>
      <c r="F613" s="4"/>
      <c r="G613" s="4"/>
      <c r="H613" s="4"/>
      <c r="I613" s="4"/>
      <c r="J613" s="4"/>
      <c r="K613" s="4"/>
      <c r="L613" s="4"/>
      <c r="M613" s="7"/>
      <c r="N613" s="7"/>
      <c r="O613" s="4"/>
      <c r="P613" s="4"/>
      <c r="Q613" s="4"/>
      <c r="R613" s="4"/>
      <c r="S613" s="16">
        <v>0.72279261006963569</v>
      </c>
    </row>
    <row r="614" spans="4:19" x14ac:dyDescent="0.25">
      <c r="D614" s="38">
        <v>0.69218269713596636</v>
      </c>
      <c r="E614" s="4"/>
      <c r="F614" s="4"/>
      <c r="G614" s="4"/>
      <c r="H614" s="4"/>
      <c r="I614" s="4"/>
      <c r="J614" s="4"/>
      <c r="K614" s="4"/>
      <c r="L614" s="4"/>
      <c r="M614" s="7"/>
      <c r="N614" s="7"/>
      <c r="O614" s="4"/>
      <c r="P614" s="4"/>
      <c r="Q614" s="4"/>
      <c r="R614" s="4"/>
      <c r="S614" s="16">
        <v>0.4182365941480316</v>
      </c>
    </row>
    <row r="615" spans="4:19" x14ac:dyDescent="0.25">
      <c r="D615" s="38">
        <v>0.63450262784046541</v>
      </c>
      <c r="E615" s="4"/>
      <c r="F615" s="4"/>
      <c r="G615" s="4"/>
      <c r="H615" s="4"/>
      <c r="I615" s="4"/>
      <c r="J615" s="4"/>
      <c r="K615" s="4"/>
      <c r="L615" s="4"/>
      <c r="M615" s="7"/>
      <c r="N615" s="7"/>
      <c r="O615" s="4"/>
      <c r="P615" s="4"/>
      <c r="Q615" s="4"/>
      <c r="R615" s="4"/>
      <c r="S615" s="16">
        <v>8.4308023895629192E-2</v>
      </c>
    </row>
    <row r="616" spans="4:19" x14ac:dyDescent="0.25">
      <c r="D616" s="38">
        <v>0.88586116298729511</v>
      </c>
      <c r="E616" s="4"/>
      <c r="F616" s="4"/>
      <c r="G616" s="4"/>
      <c r="H616" s="4"/>
      <c r="I616" s="4"/>
      <c r="J616" s="4"/>
      <c r="K616" s="4"/>
      <c r="L616" s="4"/>
      <c r="M616" s="7"/>
      <c r="N616" s="7"/>
      <c r="O616" s="4"/>
      <c r="P616" s="4"/>
      <c r="Q616" s="4"/>
      <c r="R616" s="4"/>
      <c r="S616" s="16">
        <v>0.40336747684447671</v>
      </c>
    </row>
    <row r="617" spans="4:19" x14ac:dyDescent="0.25">
      <c r="D617" s="38">
        <v>0.58856758692321987</v>
      </c>
      <c r="E617" s="4"/>
      <c r="F617" s="4"/>
      <c r="G617" s="4"/>
      <c r="H617" s="4"/>
      <c r="I617" s="4"/>
      <c r="J617" s="4"/>
      <c r="K617" s="4"/>
      <c r="L617" s="4"/>
      <c r="M617" s="7"/>
      <c r="N617" s="7"/>
      <c r="O617" s="4"/>
      <c r="P617" s="4"/>
      <c r="Q617" s="4"/>
      <c r="R617" s="4"/>
      <c r="S617" s="16">
        <v>6.5394274369237171E-2</v>
      </c>
    </row>
    <row r="618" spans="4:19" x14ac:dyDescent="0.25">
      <c r="D618" s="38">
        <v>0.24918416330081505</v>
      </c>
      <c r="E618" s="4"/>
      <c r="F618" s="4"/>
      <c r="G618" s="4"/>
      <c r="H618" s="4"/>
      <c r="I618" s="4"/>
      <c r="J618" s="4"/>
      <c r="K618" s="4"/>
      <c r="L618" s="4"/>
      <c r="M618" s="7"/>
      <c r="N618" s="7"/>
      <c r="O618" s="4"/>
      <c r="P618" s="4"/>
      <c r="Q618" s="4"/>
      <c r="R618" s="4"/>
      <c r="S618" s="16">
        <v>8.1598826900729837E-2</v>
      </c>
    </row>
    <row r="619" spans="4:19" x14ac:dyDescent="0.25">
      <c r="D619" s="38">
        <v>0.18040667814357891</v>
      </c>
      <c r="E619" s="4"/>
      <c r="F619" s="4"/>
      <c r="G619" s="4"/>
      <c r="H619" s="4"/>
      <c r="I619" s="4"/>
      <c r="J619" s="4"/>
      <c r="K619" s="4"/>
      <c r="L619" s="4"/>
      <c r="M619" s="7"/>
      <c r="N619" s="7"/>
      <c r="O619" s="4"/>
      <c r="P619" s="4"/>
      <c r="Q619" s="4"/>
      <c r="R619" s="4"/>
      <c r="S619" s="16">
        <v>0.66725221410266944</v>
      </c>
    </row>
    <row r="620" spans="4:19" x14ac:dyDescent="0.25">
      <c r="D620" s="38">
        <v>0.10229423971375917</v>
      </c>
      <c r="E620" s="4"/>
      <c r="F620" s="4"/>
      <c r="G620" s="4"/>
      <c r="H620" s="4"/>
      <c r="I620" s="4"/>
      <c r="J620" s="4"/>
      <c r="K620" s="4"/>
      <c r="L620" s="4"/>
      <c r="M620" s="7"/>
      <c r="N620" s="7"/>
      <c r="O620" s="4"/>
      <c r="P620" s="4"/>
      <c r="Q620" s="4"/>
      <c r="R620" s="4"/>
      <c r="S620" s="16">
        <v>0.49555912875206709</v>
      </c>
    </row>
    <row r="621" spans="4:19" x14ac:dyDescent="0.25">
      <c r="D621" s="38">
        <v>0.5392104575952017</v>
      </c>
      <c r="E621" s="4"/>
      <c r="F621" s="4"/>
      <c r="G621" s="4"/>
      <c r="H621" s="4"/>
      <c r="I621" s="4"/>
      <c r="J621" s="4"/>
      <c r="K621" s="4"/>
      <c r="L621" s="4"/>
      <c r="M621" s="7"/>
      <c r="N621" s="7"/>
      <c r="O621" s="4"/>
      <c r="P621" s="4"/>
      <c r="Q621" s="4"/>
      <c r="R621" s="4"/>
      <c r="S621" s="16">
        <v>0.17725596442055502</v>
      </c>
    </row>
    <row r="622" spans="4:19" x14ac:dyDescent="0.25">
      <c r="D622" s="38">
        <v>0.47092984344854039</v>
      </c>
      <c r="E622" s="4"/>
      <c r="F622" s="4"/>
      <c r="G622" s="4"/>
      <c r="H622" s="4"/>
      <c r="I622" s="4"/>
      <c r="J622" s="4"/>
      <c r="K622" s="4"/>
      <c r="L622" s="4"/>
      <c r="M622" s="7"/>
      <c r="N622" s="7"/>
      <c r="O622" s="4"/>
      <c r="P622" s="4"/>
      <c r="Q622" s="4"/>
      <c r="R622" s="4"/>
      <c r="S622" s="16">
        <v>0.79614999646428786</v>
      </c>
    </row>
    <row r="623" spans="4:19" x14ac:dyDescent="0.25">
      <c r="D623" s="38">
        <v>0.69524007537981625</v>
      </c>
      <c r="E623" s="4"/>
      <c r="F623" s="4"/>
      <c r="G623" s="4"/>
      <c r="H623" s="4"/>
      <c r="I623" s="4"/>
      <c r="J623" s="4"/>
      <c r="K623" s="4"/>
      <c r="L623" s="4"/>
      <c r="M623" s="7"/>
      <c r="N623" s="7"/>
      <c r="O623" s="4"/>
      <c r="P623" s="4"/>
      <c r="Q623" s="4"/>
      <c r="R623" s="4"/>
      <c r="S623" s="16">
        <v>0.35705323221601148</v>
      </c>
    </row>
    <row r="624" spans="4:19" x14ac:dyDescent="0.25">
      <c r="D624" s="38">
        <v>0.90531322643898371</v>
      </c>
      <c r="E624" s="4"/>
      <c r="F624" s="4"/>
      <c r="G624" s="4"/>
      <c r="H624" s="4"/>
      <c r="I624" s="4"/>
      <c r="J624" s="4"/>
      <c r="K624" s="4"/>
      <c r="L624" s="4"/>
      <c r="M624" s="7"/>
      <c r="N624" s="7"/>
      <c r="O624" s="4"/>
      <c r="P624" s="4"/>
      <c r="Q624" s="4"/>
      <c r="R624" s="4"/>
      <c r="S624" s="16">
        <v>0.54148886750917247</v>
      </c>
    </row>
    <row r="625" spans="4:19" x14ac:dyDescent="0.25">
      <c r="D625" s="38">
        <v>0.77099638435687312</v>
      </c>
      <c r="E625" s="4"/>
      <c r="F625" s="4"/>
      <c r="G625" s="4"/>
      <c r="H625" s="4"/>
      <c r="I625" s="4"/>
      <c r="J625" s="4"/>
      <c r="K625" s="4"/>
      <c r="L625" s="4"/>
      <c r="M625" s="7"/>
      <c r="N625" s="7"/>
      <c r="O625" s="4"/>
      <c r="P625" s="4"/>
      <c r="Q625" s="4"/>
      <c r="R625" s="4"/>
      <c r="S625" s="16">
        <v>0.37507023889307811</v>
      </c>
    </row>
    <row r="626" spans="4:19" x14ac:dyDescent="0.25">
      <c r="D626" s="38">
        <v>0.60376157841344669</v>
      </c>
      <c r="E626" s="4"/>
      <c r="F626" s="4"/>
      <c r="G626" s="4"/>
      <c r="H626" s="4"/>
      <c r="I626" s="4"/>
      <c r="J626" s="4"/>
      <c r="K626" s="4"/>
      <c r="L626" s="4"/>
      <c r="M626" s="7"/>
      <c r="N626" s="7"/>
      <c r="O626" s="4"/>
      <c r="P626" s="4"/>
      <c r="Q626" s="4"/>
      <c r="R626" s="4"/>
      <c r="S626" s="16">
        <v>2.9206525191101784E-2</v>
      </c>
    </row>
    <row r="627" spans="4:19" x14ac:dyDescent="0.25">
      <c r="D627" s="38">
        <v>0.99708926038353163</v>
      </c>
      <c r="E627" s="4"/>
      <c r="F627" s="4"/>
      <c r="G627" s="4"/>
      <c r="H627" s="4"/>
      <c r="I627" s="4"/>
      <c r="J627" s="4"/>
      <c r="K627" s="4"/>
      <c r="L627" s="4"/>
      <c r="M627" s="7"/>
      <c r="N627" s="7"/>
      <c r="O627" s="4"/>
      <c r="P627" s="4"/>
      <c r="Q627" s="4"/>
      <c r="R627" s="4"/>
      <c r="S627" s="16">
        <v>0.93272399732743094</v>
      </c>
    </row>
    <row r="628" spans="4:19" x14ac:dyDescent="0.25">
      <c r="D628" s="38">
        <v>0.52127060640785894</v>
      </c>
      <c r="E628" s="4"/>
      <c r="F628" s="4"/>
      <c r="G628" s="4"/>
      <c r="H628" s="4"/>
      <c r="I628" s="4"/>
      <c r="J628" s="4"/>
      <c r="K628" s="4"/>
      <c r="L628" s="4"/>
      <c r="M628" s="7"/>
      <c r="N628" s="7"/>
      <c r="O628" s="4"/>
      <c r="P628" s="4"/>
      <c r="Q628" s="4"/>
      <c r="R628" s="4"/>
      <c r="S628" s="16">
        <v>0.83865788604908154</v>
      </c>
    </row>
    <row r="629" spans="4:19" x14ac:dyDescent="0.25">
      <c r="D629" s="38">
        <v>0.36444591704600982</v>
      </c>
      <c r="E629" s="4"/>
      <c r="F629" s="4"/>
      <c r="G629" s="4"/>
      <c r="H629" s="4"/>
      <c r="I629" s="4"/>
      <c r="J629" s="4"/>
      <c r="K629" s="4"/>
      <c r="L629" s="4"/>
      <c r="M629" s="7"/>
      <c r="N629" s="7"/>
      <c r="O629" s="4"/>
      <c r="P629" s="4"/>
      <c r="Q629" s="4"/>
      <c r="R629" s="4"/>
      <c r="S629" s="16">
        <v>9.5563253096037859E-2</v>
      </c>
    </row>
    <row r="630" spans="4:19" x14ac:dyDescent="0.25">
      <c r="D630" s="38">
        <v>0.71289176773568319</v>
      </c>
      <c r="E630" s="4"/>
      <c r="F630" s="4"/>
      <c r="G630" s="4"/>
      <c r="H630" s="4"/>
      <c r="I630" s="4"/>
      <c r="J630" s="4"/>
      <c r="K630" s="4"/>
      <c r="L630" s="4"/>
      <c r="M630" s="7"/>
      <c r="N630" s="7"/>
      <c r="O630" s="4"/>
      <c r="P630" s="4"/>
      <c r="Q630" s="4"/>
      <c r="R630" s="4"/>
      <c r="S630" s="16">
        <v>0.21034815250509709</v>
      </c>
    </row>
    <row r="631" spans="4:19" x14ac:dyDescent="0.25">
      <c r="D631" s="38">
        <v>0.98079338601015809</v>
      </c>
      <c r="E631" s="4"/>
      <c r="F631" s="4"/>
      <c r="G631" s="4"/>
      <c r="H631" s="4"/>
      <c r="I631" s="4"/>
      <c r="J631" s="4"/>
      <c r="K631" s="4"/>
      <c r="L631" s="4"/>
      <c r="M631" s="7"/>
      <c r="N631" s="7"/>
      <c r="O631" s="4"/>
      <c r="P631" s="4"/>
      <c r="Q631" s="4"/>
      <c r="R631" s="4"/>
      <c r="S631" s="16">
        <v>0.90541848705937045</v>
      </c>
    </row>
    <row r="632" spans="4:19" x14ac:dyDescent="0.25">
      <c r="D632" s="38">
        <v>0.79242624515006721</v>
      </c>
      <c r="E632" s="4"/>
      <c r="F632" s="4"/>
      <c r="G632" s="4"/>
      <c r="H632" s="4"/>
      <c r="I632" s="4"/>
      <c r="J632" s="4"/>
      <c r="K632" s="4"/>
      <c r="L632" s="4"/>
      <c r="M632" s="7"/>
      <c r="N632" s="7"/>
      <c r="O632" s="4"/>
      <c r="P632" s="4"/>
      <c r="Q632" s="4"/>
      <c r="R632" s="4"/>
      <c r="S632" s="16">
        <v>0.70351875657822849</v>
      </c>
    </row>
    <row r="633" spans="4:19" x14ac:dyDescent="0.25">
      <c r="D633" s="38">
        <v>0.90188483891758331</v>
      </c>
      <c r="E633" s="4"/>
      <c r="F633" s="4"/>
      <c r="G633" s="4"/>
      <c r="H633" s="4"/>
      <c r="I633" s="4"/>
      <c r="J633" s="4"/>
      <c r="K633" s="4"/>
      <c r="L633" s="4"/>
      <c r="M633" s="7"/>
      <c r="N633" s="7"/>
      <c r="O633" s="4"/>
      <c r="P633" s="4"/>
      <c r="Q633" s="4"/>
      <c r="R633" s="4"/>
      <c r="S633" s="16">
        <v>0.24349928892697248</v>
      </c>
    </row>
    <row r="634" spans="4:19" x14ac:dyDescent="0.25">
      <c r="D634" s="38">
        <v>0.69018516237087069</v>
      </c>
      <c r="E634" s="4"/>
      <c r="F634" s="4"/>
      <c r="G634" s="4"/>
      <c r="H634" s="4"/>
      <c r="I634" s="4"/>
      <c r="J634" s="4"/>
      <c r="K634" s="4"/>
      <c r="L634" s="4"/>
      <c r="M634" s="7"/>
      <c r="N634" s="7"/>
      <c r="O634" s="4"/>
      <c r="P634" s="4"/>
      <c r="Q634" s="4"/>
      <c r="R634" s="4"/>
      <c r="S634" s="16">
        <v>0.21932277211701912</v>
      </c>
    </row>
    <row r="635" spans="4:19" x14ac:dyDescent="0.25">
      <c r="D635" s="38">
        <v>0.39554256953457634</v>
      </c>
      <c r="E635" s="4"/>
      <c r="F635" s="4"/>
      <c r="G635" s="4"/>
      <c r="H635" s="4"/>
      <c r="I635" s="4"/>
      <c r="J635" s="4"/>
      <c r="K635" s="4"/>
      <c r="L635" s="4"/>
      <c r="M635" s="7"/>
      <c r="N635" s="7"/>
      <c r="O635" s="4"/>
      <c r="P635" s="4"/>
      <c r="Q635" s="4"/>
      <c r="R635" s="4"/>
      <c r="S635" s="16">
        <v>0.42087200064542496</v>
      </c>
    </row>
    <row r="636" spans="4:19" x14ac:dyDescent="0.25">
      <c r="D636" s="38">
        <v>0.60787421931185459</v>
      </c>
      <c r="E636" s="4"/>
      <c r="F636" s="4"/>
      <c r="G636" s="4"/>
      <c r="H636" s="4"/>
      <c r="I636" s="4"/>
      <c r="J636" s="4"/>
      <c r="K636" s="4"/>
      <c r="L636" s="4"/>
      <c r="M636" s="7"/>
      <c r="N636" s="7"/>
      <c r="O636" s="4"/>
      <c r="P636" s="4"/>
      <c r="Q636" s="4"/>
      <c r="R636" s="4"/>
      <c r="S636" s="16">
        <v>0.5578362335070095</v>
      </c>
    </row>
    <row r="637" spans="4:19" x14ac:dyDescent="0.25">
      <c r="D637" s="38">
        <v>0.70679178863017633</v>
      </c>
      <c r="E637" s="4"/>
      <c r="F637" s="4"/>
      <c r="G637" s="4"/>
      <c r="H637" s="4"/>
      <c r="I637" s="4"/>
      <c r="J637" s="4"/>
      <c r="K637" s="4"/>
      <c r="L637" s="4"/>
      <c r="M637" s="7"/>
      <c r="N637" s="7"/>
      <c r="O637" s="4"/>
      <c r="P637" s="4"/>
      <c r="Q637" s="4"/>
      <c r="R637" s="4"/>
      <c r="S637" s="16">
        <v>0.30079331833808209</v>
      </c>
    </row>
    <row r="638" spans="4:19" x14ac:dyDescent="0.25">
      <c r="D638" s="38">
        <v>0.20862785151195795</v>
      </c>
      <c r="E638" s="4"/>
      <c r="F638" s="4"/>
      <c r="G638" s="4"/>
      <c r="H638" s="4"/>
      <c r="I638" s="4"/>
      <c r="J638" s="4"/>
      <c r="K638" s="4"/>
      <c r="L638" s="4"/>
      <c r="M638" s="7"/>
      <c r="N638" s="7"/>
      <c r="O638" s="4"/>
      <c r="P638" s="4"/>
      <c r="Q638" s="4"/>
      <c r="R638" s="4"/>
      <c r="S638" s="16">
        <v>0.75801004677584394</v>
      </c>
    </row>
    <row r="639" spans="4:19" x14ac:dyDescent="0.25">
      <c r="D639" s="38">
        <v>0.6593710772096657</v>
      </c>
      <c r="E639" s="4"/>
      <c r="F639" s="4"/>
      <c r="G639" s="4"/>
      <c r="H639" s="4"/>
      <c r="I639" s="4"/>
      <c r="J639" s="4"/>
      <c r="K639" s="4"/>
      <c r="L639" s="4"/>
      <c r="M639" s="7"/>
      <c r="N639" s="7"/>
      <c r="O639" s="4"/>
      <c r="P639" s="4"/>
      <c r="Q639" s="4"/>
      <c r="R639" s="4"/>
      <c r="S639" s="16">
        <v>6.4085736384263847E-2</v>
      </c>
    </row>
    <row r="640" spans="4:19" x14ac:dyDescent="0.25">
      <c r="D640" s="38">
        <v>0.69995875529566132</v>
      </c>
      <c r="E640" s="4"/>
      <c r="F640" s="4"/>
      <c r="G640" s="4"/>
      <c r="H640" s="4"/>
      <c r="I640" s="4"/>
      <c r="J640" s="4"/>
      <c r="K640" s="4"/>
      <c r="L640" s="4"/>
      <c r="M640" s="7"/>
      <c r="N640" s="7"/>
      <c r="O640" s="4"/>
      <c r="P640" s="4"/>
      <c r="Q640" s="4"/>
      <c r="R640" s="4"/>
      <c r="S640" s="16">
        <v>0.84219206019959714</v>
      </c>
    </row>
    <row r="641" spans="4:19" x14ac:dyDescent="0.25">
      <c r="D641" s="38">
        <v>0.41241053883816403</v>
      </c>
      <c r="E641" s="4"/>
      <c r="F641" s="4"/>
      <c r="G641" s="4"/>
      <c r="H641" s="4"/>
      <c r="I641" s="4"/>
      <c r="J641" s="4"/>
      <c r="K641" s="4"/>
      <c r="L641" s="4"/>
      <c r="M641" s="7"/>
      <c r="N641" s="7"/>
      <c r="O641" s="4"/>
      <c r="P641" s="4"/>
      <c r="Q641" s="4"/>
      <c r="R641" s="4"/>
      <c r="S641" s="16">
        <v>0.26188602959426011</v>
      </c>
    </row>
    <row r="642" spans="4:19" x14ac:dyDescent="0.25">
      <c r="D642" s="38">
        <v>0.54446214443438112</v>
      </c>
      <c r="E642" s="4"/>
      <c r="F642" s="4"/>
      <c r="G642" s="4"/>
      <c r="H642" s="4"/>
      <c r="I642" s="4"/>
      <c r="J642" s="4"/>
      <c r="K642" s="4"/>
      <c r="L642" s="4"/>
      <c r="M642" s="7"/>
      <c r="N642" s="7"/>
      <c r="O642" s="4"/>
      <c r="P642" s="4"/>
      <c r="Q642" s="4"/>
      <c r="R642" s="4"/>
      <c r="S642" s="16">
        <v>0.16994459358899572</v>
      </c>
    </row>
    <row r="643" spans="4:19" x14ac:dyDescent="0.25">
      <c r="D643" s="38">
        <v>0.46376933742227622</v>
      </c>
      <c r="E643" s="4"/>
      <c r="F643" s="4"/>
      <c r="G643" s="4"/>
      <c r="H643" s="4"/>
      <c r="I643" s="4"/>
      <c r="J643" s="4"/>
      <c r="K643" s="4"/>
      <c r="L643" s="4"/>
      <c r="M643" s="7"/>
      <c r="N643" s="7"/>
      <c r="O643" s="4"/>
      <c r="P643" s="4"/>
      <c r="Q643" s="4"/>
      <c r="R643" s="4"/>
      <c r="S643" s="16">
        <v>0.66405206319824717</v>
      </c>
    </row>
    <row r="644" spans="4:19" x14ac:dyDescent="0.25">
      <c r="D644" s="38">
        <v>0.46573150909234584</v>
      </c>
      <c r="E644" s="4"/>
      <c r="F644" s="4"/>
      <c r="G644" s="4"/>
      <c r="H644" s="4"/>
      <c r="I644" s="4"/>
      <c r="J644" s="4"/>
      <c r="K644" s="4"/>
      <c r="L644" s="4"/>
      <c r="M644" s="7"/>
      <c r="N644" s="7"/>
      <c r="O644" s="4"/>
      <c r="P644" s="4"/>
      <c r="Q644" s="4"/>
      <c r="R644" s="4"/>
      <c r="S644" s="16">
        <v>0.31730885961846655</v>
      </c>
    </row>
    <row r="645" spans="4:19" x14ac:dyDescent="0.25">
      <c r="D645" s="38">
        <v>0.65070886237274028</v>
      </c>
      <c r="E645" s="4"/>
      <c r="F645" s="4"/>
      <c r="G645" s="4"/>
      <c r="H645" s="4"/>
      <c r="I645" s="4"/>
      <c r="J645" s="4"/>
      <c r="K645" s="4"/>
      <c r="L645" s="4"/>
      <c r="M645" s="7"/>
      <c r="N645" s="7"/>
      <c r="O645" s="4"/>
      <c r="P645" s="4"/>
      <c r="Q645" s="4"/>
      <c r="R645" s="4"/>
      <c r="S645" s="16">
        <v>0.28870443830517611</v>
      </c>
    </row>
    <row r="646" spans="4:19" x14ac:dyDescent="0.25">
      <c r="D646" s="38">
        <v>0.82557913706990294</v>
      </c>
      <c r="E646" s="4"/>
      <c r="F646" s="4"/>
      <c r="G646" s="4"/>
      <c r="H646" s="4"/>
      <c r="I646" s="4"/>
      <c r="J646" s="4"/>
      <c r="K646" s="4"/>
      <c r="L646" s="4"/>
      <c r="M646" s="7"/>
      <c r="N646" s="7"/>
      <c r="O646" s="4"/>
      <c r="P646" s="4"/>
      <c r="Q646" s="4"/>
      <c r="R646" s="4"/>
      <c r="S646" s="16">
        <v>0.3838450130329647</v>
      </c>
    </row>
    <row r="647" spans="4:19" x14ac:dyDescent="0.25">
      <c r="D647" s="38">
        <v>0.94644482149708098</v>
      </c>
      <c r="E647" s="4"/>
      <c r="F647" s="4"/>
      <c r="G647" s="4"/>
      <c r="H647" s="4"/>
      <c r="I647" s="4"/>
      <c r="J647" s="4"/>
      <c r="K647" s="4"/>
      <c r="L647" s="4"/>
      <c r="M647" s="7"/>
      <c r="N647" s="7"/>
      <c r="O647" s="4"/>
      <c r="P647" s="4"/>
      <c r="Q647" s="4"/>
      <c r="R647" s="4"/>
      <c r="S647" s="16">
        <v>0.34155292979768515</v>
      </c>
    </row>
    <row r="648" spans="4:19" x14ac:dyDescent="0.25">
      <c r="D648" s="38">
        <v>0.87114444585216833</v>
      </c>
      <c r="E648" s="4"/>
      <c r="F648" s="4"/>
      <c r="G648" s="4"/>
      <c r="H648" s="4"/>
      <c r="I648" s="4"/>
      <c r="J648" s="4"/>
      <c r="K648" s="4"/>
      <c r="L648" s="4"/>
      <c r="M648" s="7"/>
      <c r="N648" s="7"/>
      <c r="O648" s="4"/>
      <c r="P648" s="4"/>
      <c r="Q648" s="4"/>
      <c r="R648" s="4"/>
      <c r="S648" s="16">
        <v>0.3159165607875527</v>
      </c>
    </row>
    <row r="649" spans="4:19" x14ac:dyDescent="0.25">
      <c r="D649" s="38">
        <v>0.60136240193078783</v>
      </c>
      <c r="E649" s="4"/>
      <c r="F649" s="4"/>
      <c r="G649" s="4"/>
      <c r="H649" s="4"/>
      <c r="I649" s="4"/>
      <c r="J649" s="4"/>
      <c r="K649" s="4"/>
      <c r="L649" s="4"/>
      <c r="M649" s="7"/>
      <c r="N649" s="7"/>
      <c r="O649" s="4"/>
      <c r="P649" s="4"/>
      <c r="Q649" s="4"/>
      <c r="R649" s="4"/>
      <c r="S649" s="16">
        <v>0.71167168830275407</v>
      </c>
    </row>
    <row r="650" spans="4:19" x14ac:dyDescent="0.25">
      <c r="D650" s="38">
        <v>0.6683531825453215</v>
      </c>
      <c r="E650" s="4"/>
      <c r="F650" s="4"/>
      <c r="G650" s="4"/>
      <c r="H650" s="4"/>
      <c r="I650" s="4"/>
      <c r="J650" s="4"/>
      <c r="K650" s="4"/>
      <c r="L650" s="4"/>
      <c r="M650" s="7"/>
      <c r="N650" s="7"/>
      <c r="O650" s="4"/>
      <c r="P650" s="4"/>
      <c r="Q650" s="4"/>
      <c r="R650" s="4"/>
      <c r="S650" s="16">
        <v>0.16634174308521232</v>
      </c>
    </row>
    <row r="651" spans="4:19" x14ac:dyDescent="0.25">
      <c r="D651" s="38">
        <v>8.5468041500230796E-2</v>
      </c>
      <c r="E651" s="4"/>
      <c r="F651" s="4"/>
      <c r="G651" s="4"/>
      <c r="H651" s="4"/>
      <c r="I651" s="4"/>
      <c r="J651" s="4"/>
      <c r="K651" s="4"/>
      <c r="L651" s="4"/>
      <c r="M651" s="7"/>
      <c r="N651" s="7"/>
      <c r="O651" s="4"/>
      <c r="P651" s="4"/>
      <c r="Q651" s="4"/>
      <c r="R651" s="4"/>
      <c r="S651" s="16">
        <v>0.5115501206426919</v>
      </c>
    </row>
    <row r="652" spans="4:19" x14ac:dyDescent="0.25">
      <c r="D652" s="38">
        <v>0.94721092058455869</v>
      </c>
      <c r="E652" s="4"/>
      <c r="F652" s="4"/>
      <c r="G652" s="4"/>
      <c r="H652" s="4"/>
      <c r="I652" s="4"/>
      <c r="J652" s="4"/>
      <c r="K652" s="4"/>
      <c r="L652" s="4"/>
      <c r="M652" s="7"/>
      <c r="N652" s="7"/>
      <c r="O652" s="4"/>
      <c r="P652" s="4"/>
      <c r="Q652" s="4"/>
      <c r="R652" s="4"/>
      <c r="S652" s="16">
        <v>0.16022121974890802</v>
      </c>
    </row>
    <row r="653" spans="4:19" x14ac:dyDescent="0.25">
      <c r="D653" s="38">
        <v>0.65693872686709121</v>
      </c>
      <c r="E653" s="4"/>
      <c r="F653" s="4"/>
      <c r="G653" s="4"/>
      <c r="H653" s="4"/>
      <c r="I653" s="4"/>
      <c r="J653" s="4"/>
      <c r="K653" s="4"/>
      <c r="L653" s="4"/>
      <c r="M653" s="7"/>
      <c r="N653" s="7"/>
      <c r="O653" s="4"/>
      <c r="P653" s="4"/>
      <c r="Q653" s="4"/>
      <c r="R653" s="4"/>
      <c r="S653" s="16">
        <v>0.64985075093486233</v>
      </c>
    </row>
    <row r="654" spans="4:19" x14ac:dyDescent="0.25">
      <c r="D654" s="38">
        <v>0.82145208918327295</v>
      </c>
      <c r="E654" s="4"/>
      <c r="F654" s="4"/>
      <c r="G654" s="4"/>
      <c r="H654" s="4"/>
      <c r="I654" s="4"/>
      <c r="J654" s="4"/>
      <c r="K654" s="4"/>
      <c r="L654" s="4"/>
      <c r="M654" s="7"/>
      <c r="N654" s="7"/>
      <c r="O654" s="4"/>
      <c r="P654" s="4"/>
      <c r="Q654" s="4"/>
      <c r="R654" s="4"/>
      <c r="S654" s="16">
        <v>0.69860134054367351</v>
      </c>
    </row>
    <row r="655" spans="4:19" x14ac:dyDescent="0.25">
      <c r="D655" s="38">
        <v>0.72502741790377911</v>
      </c>
      <c r="E655" s="4"/>
      <c r="F655" s="4"/>
      <c r="G655" s="4"/>
      <c r="H655" s="4"/>
      <c r="I655" s="4"/>
      <c r="J655" s="4"/>
      <c r="K655" s="4"/>
      <c r="L655" s="4"/>
      <c r="M655" s="7"/>
      <c r="N655" s="7"/>
      <c r="O655" s="4"/>
      <c r="P655" s="4"/>
      <c r="Q655" s="4"/>
      <c r="R655" s="4"/>
      <c r="S655" s="16">
        <v>0.55225413446617677</v>
      </c>
    </row>
    <row r="656" spans="4:19" x14ac:dyDescent="0.25">
      <c r="D656" s="38">
        <v>6.2210256497867711E-3</v>
      </c>
      <c r="E656" s="4"/>
      <c r="F656" s="4"/>
      <c r="G656" s="4"/>
      <c r="H656" s="4"/>
      <c r="I656" s="4"/>
      <c r="J656" s="4"/>
      <c r="K656" s="4"/>
      <c r="L656" s="4"/>
      <c r="M656" s="7"/>
      <c r="N656" s="7"/>
      <c r="O656" s="4"/>
      <c r="P656" s="4"/>
      <c r="Q656" s="4"/>
      <c r="R656" s="4"/>
      <c r="S656" s="16">
        <v>0.887248038892685</v>
      </c>
    </row>
    <row r="657" spans="4:19" x14ac:dyDescent="0.25">
      <c r="D657" s="38">
        <v>8.6074973630307916E-2</v>
      </c>
      <c r="E657" s="4"/>
      <c r="F657" s="4"/>
      <c r="G657" s="4"/>
      <c r="H657" s="4"/>
      <c r="I657" s="4"/>
      <c r="J657" s="4"/>
      <c r="K657" s="4"/>
      <c r="L657" s="4"/>
      <c r="M657" s="7"/>
      <c r="N657" s="7"/>
      <c r="O657" s="4"/>
      <c r="P657" s="4"/>
      <c r="Q657" s="4"/>
      <c r="R657" s="4"/>
      <c r="S657" s="16">
        <v>0.86342965061384136</v>
      </c>
    </row>
    <row r="658" spans="4:19" x14ac:dyDescent="0.25">
      <c r="D658" s="38">
        <v>0.16561969255651632</v>
      </c>
      <c r="E658" s="4"/>
      <c r="F658" s="4"/>
      <c r="G658" s="4"/>
      <c r="H658" s="4"/>
      <c r="I658" s="4"/>
      <c r="J658" s="4"/>
      <c r="K658" s="4"/>
      <c r="L658" s="4"/>
      <c r="M658" s="7"/>
      <c r="N658" s="7"/>
      <c r="O658" s="4"/>
      <c r="P658" s="4"/>
      <c r="Q658" s="4"/>
      <c r="R658" s="4"/>
      <c r="S658" s="16">
        <v>0.10391982860664928</v>
      </c>
    </row>
    <row r="659" spans="4:19" x14ac:dyDescent="0.25">
      <c r="D659" s="38">
        <v>0.436870211444088</v>
      </c>
      <c r="E659" s="4"/>
      <c r="F659" s="4"/>
      <c r="G659" s="4"/>
      <c r="H659" s="4"/>
      <c r="I659" s="4"/>
      <c r="J659" s="4"/>
      <c r="K659" s="4"/>
      <c r="L659" s="4"/>
      <c r="M659" s="7"/>
      <c r="N659" s="7"/>
      <c r="O659" s="4"/>
      <c r="P659" s="4"/>
      <c r="Q659" s="4"/>
      <c r="R659" s="4"/>
      <c r="S659" s="16">
        <v>0.26856606508406422</v>
      </c>
    </row>
    <row r="660" spans="4:19" x14ac:dyDescent="0.25">
      <c r="D660" s="38">
        <v>0.83084561520642985</v>
      </c>
      <c r="E660" s="4"/>
      <c r="F660" s="4"/>
      <c r="G660" s="4"/>
      <c r="H660" s="4"/>
      <c r="I660" s="4"/>
      <c r="J660" s="4"/>
      <c r="K660" s="4"/>
      <c r="L660" s="4"/>
      <c r="M660" s="7"/>
      <c r="N660" s="7"/>
      <c r="O660" s="4"/>
      <c r="P660" s="4"/>
      <c r="Q660" s="4"/>
      <c r="R660" s="4"/>
      <c r="S660" s="16">
        <v>0.13510955983884776</v>
      </c>
    </row>
    <row r="661" spans="4:19" x14ac:dyDescent="0.25">
      <c r="D661" s="38">
        <v>0.91722015763102482</v>
      </c>
      <c r="E661" s="4"/>
      <c r="F661" s="4"/>
      <c r="G661" s="4"/>
      <c r="H661" s="4"/>
      <c r="I661" s="4"/>
      <c r="J661" s="4"/>
      <c r="K661" s="4"/>
      <c r="L661" s="4"/>
      <c r="M661" s="7"/>
      <c r="N661" s="7"/>
      <c r="O661" s="4"/>
      <c r="P661" s="4"/>
      <c r="Q661" s="4"/>
      <c r="R661" s="4"/>
      <c r="S661" s="16">
        <v>0.97133024876910246</v>
      </c>
    </row>
    <row r="662" spans="4:19" x14ac:dyDescent="0.25">
      <c r="D662" s="38">
        <v>9.1456362542916558E-3</v>
      </c>
      <c r="E662" s="4"/>
      <c r="F662" s="4"/>
      <c r="G662" s="4"/>
      <c r="H662" s="4"/>
      <c r="I662" s="4"/>
      <c r="J662" s="4"/>
      <c r="K662" s="4"/>
      <c r="L662" s="4"/>
      <c r="M662" s="7"/>
      <c r="N662" s="7"/>
      <c r="O662" s="4"/>
      <c r="P662" s="4"/>
      <c r="Q662" s="4"/>
      <c r="R662" s="4"/>
      <c r="S662" s="16">
        <v>0.85545530418834304</v>
      </c>
    </row>
    <row r="663" spans="4:19" x14ac:dyDescent="0.25">
      <c r="D663" s="38">
        <v>0.35430752737952809</v>
      </c>
      <c r="E663" s="4"/>
      <c r="F663" s="4"/>
      <c r="G663" s="4"/>
      <c r="H663" s="4"/>
      <c r="I663" s="4"/>
      <c r="J663" s="4"/>
      <c r="K663" s="4"/>
      <c r="L663" s="4"/>
      <c r="M663" s="7"/>
      <c r="N663" s="7"/>
      <c r="O663" s="4"/>
      <c r="P663" s="4"/>
      <c r="Q663" s="4"/>
      <c r="R663" s="4"/>
      <c r="S663" s="16">
        <v>0.20126462340505125</v>
      </c>
    </row>
    <row r="664" spans="4:19" x14ac:dyDescent="0.25">
      <c r="D664" s="38">
        <v>0.14972313121919134</v>
      </c>
      <c r="E664" s="4"/>
      <c r="F664" s="4"/>
      <c r="G664" s="4"/>
      <c r="H664" s="4"/>
      <c r="I664" s="4"/>
      <c r="J664" s="4"/>
      <c r="K664" s="4"/>
      <c r="L664" s="4"/>
      <c r="M664" s="7"/>
      <c r="N664" s="7"/>
      <c r="O664" s="4"/>
      <c r="P664" s="4"/>
      <c r="Q664" s="4"/>
      <c r="R664" s="4"/>
      <c r="S664" s="16">
        <v>0.98229965386811791</v>
      </c>
    </row>
    <row r="665" spans="4:19" x14ac:dyDescent="0.25">
      <c r="D665" s="38">
        <v>0.64893320824332701</v>
      </c>
      <c r="E665" s="4"/>
      <c r="F665" s="4"/>
      <c r="G665" s="4"/>
      <c r="H665" s="4"/>
      <c r="I665" s="4"/>
      <c r="J665" s="4"/>
      <c r="K665" s="4"/>
      <c r="L665" s="4"/>
      <c r="M665" s="7"/>
      <c r="N665" s="7"/>
      <c r="O665" s="4"/>
      <c r="P665" s="4"/>
      <c r="Q665" s="4"/>
      <c r="R665" s="4"/>
      <c r="S665" s="16">
        <v>0.5528453402868071</v>
      </c>
    </row>
    <row r="666" spans="4:19" x14ac:dyDescent="0.25">
      <c r="D666" s="38">
        <v>0.20417985353052315</v>
      </c>
      <c r="E666" s="4"/>
      <c r="F666" s="4"/>
      <c r="G666" s="4"/>
      <c r="H666" s="4"/>
      <c r="I666" s="4"/>
      <c r="J666" s="4"/>
      <c r="K666" s="4"/>
      <c r="L666" s="4"/>
      <c r="M666" s="7"/>
      <c r="N666" s="7"/>
      <c r="O666" s="4"/>
      <c r="P666" s="4"/>
      <c r="Q666" s="4"/>
      <c r="R666" s="4"/>
      <c r="S666" s="16">
        <v>0.76311314531006957</v>
      </c>
    </row>
    <row r="667" spans="4:19" x14ac:dyDescent="0.25">
      <c r="D667" s="38">
        <v>0.60901702000059732</v>
      </c>
      <c r="E667" s="4"/>
      <c r="F667" s="4"/>
      <c r="G667" s="4"/>
      <c r="H667" s="4"/>
      <c r="I667" s="4"/>
      <c r="J667" s="4"/>
      <c r="K667" s="4"/>
      <c r="L667" s="4"/>
      <c r="M667" s="7"/>
      <c r="N667" s="7"/>
      <c r="O667" s="4"/>
      <c r="P667" s="4"/>
      <c r="Q667" s="4"/>
      <c r="R667" s="4"/>
      <c r="S667" s="16">
        <v>9.3991273618553195E-2</v>
      </c>
    </row>
    <row r="668" spans="4:19" x14ac:dyDescent="0.25">
      <c r="D668" s="38">
        <v>4.4745730113281312E-2</v>
      </c>
      <c r="E668" s="4"/>
      <c r="F668" s="4"/>
      <c r="G668" s="4"/>
      <c r="H668" s="4"/>
      <c r="I668" s="4"/>
      <c r="J668" s="4"/>
      <c r="K668" s="4"/>
      <c r="L668" s="4"/>
      <c r="M668" s="7"/>
      <c r="N668" s="7"/>
      <c r="O668" s="4"/>
      <c r="P668" s="4"/>
      <c r="Q668" s="4"/>
      <c r="R668" s="4"/>
      <c r="S668" s="16">
        <v>4.5667647076918838E-2</v>
      </c>
    </row>
    <row r="669" spans="4:19" x14ac:dyDescent="0.25">
      <c r="D669" s="38">
        <v>0.56732265731920817</v>
      </c>
      <c r="E669" s="4"/>
      <c r="F669" s="4"/>
      <c r="G669" s="4"/>
      <c r="H669" s="4"/>
      <c r="I669" s="4"/>
      <c r="J669" s="4"/>
      <c r="K669" s="4"/>
      <c r="L669" s="4"/>
      <c r="M669" s="7"/>
      <c r="N669" s="7"/>
      <c r="O669" s="4"/>
      <c r="P669" s="4"/>
      <c r="Q669" s="4"/>
      <c r="R669" s="4"/>
      <c r="S669" s="16">
        <v>0.49837382265963848</v>
      </c>
    </row>
    <row r="670" spans="4:19" x14ac:dyDescent="0.25">
      <c r="D670" s="38">
        <v>0.11098319823710001</v>
      </c>
      <c r="E670" s="4"/>
      <c r="F670" s="4"/>
      <c r="G670" s="4"/>
      <c r="H670" s="4"/>
      <c r="I670" s="4"/>
      <c r="J670" s="4"/>
      <c r="K670" s="4"/>
      <c r="L670" s="4"/>
      <c r="M670" s="7"/>
      <c r="N670" s="7"/>
      <c r="O670" s="4"/>
      <c r="P670" s="4"/>
      <c r="Q670" s="4"/>
      <c r="R670" s="4"/>
      <c r="S670" s="16">
        <v>0.55088454166036516</v>
      </c>
    </row>
    <row r="671" spans="4:19" x14ac:dyDescent="0.25">
      <c r="D671" s="38">
        <v>0.72406319119865858</v>
      </c>
      <c r="E671" s="4"/>
      <c r="F671" s="4"/>
      <c r="G671" s="4"/>
      <c r="H671" s="4"/>
      <c r="I671" s="4"/>
      <c r="J671" s="4"/>
      <c r="K671" s="4"/>
      <c r="L671" s="4"/>
      <c r="M671" s="7"/>
      <c r="N671" s="7"/>
      <c r="O671" s="4"/>
      <c r="P671" s="4"/>
      <c r="Q671" s="4"/>
      <c r="R671" s="4"/>
      <c r="S671" s="16">
        <v>0.84316606594322763</v>
      </c>
    </row>
    <row r="672" spans="4:19" x14ac:dyDescent="0.25">
      <c r="D672" s="38">
        <v>0.96550949685321075</v>
      </c>
      <c r="E672" s="4"/>
      <c r="F672" s="4"/>
      <c r="G672" s="4"/>
      <c r="H672" s="4"/>
      <c r="I672" s="4"/>
      <c r="J672" s="4"/>
      <c r="K672" s="4"/>
      <c r="L672" s="4"/>
      <c r="M672" s="7"/>
      <c r="N672" s="7"/>
      <c r="O672" s="4"/>
      <c r="P672" s="4"/>
      <c r="Q672" s="4"/>
      <c r="R672" s="4"/>
      <c r="S672" s="16">
        <v>0.78135992238097551</v>
      </c>
    </row>
    <row r="673" spans="4:19" x14ac:dyDescent="0.25">
      <c r="D673" s="38">
        <v>0.59660018969758966</v>
      </c>
      <c r="E673" s="4"/>
      <c r="F673" s="4"/>
      <c r="G673" s="4"/>
      <c r="H673" s="4"/>
      <c r="I673" s="4"/>
      <c r="J673" s="4"/>
      <c r="K673" s="4"/>
      <c r="L673" s="4"/>
      <c r="M673" s="7"/>
      <c r="N673" s="7"/>
      <c r="O673" s="4"/>
      <c r="P673" s="4"/>
      <c r="Q673" s="4"/>
      <c r="R673" s="4"/>
      <c r="S673" s="16">
        <v>0.27592500938473596</v>
      </c>
    </row>
    <row r="674" spans="4:19" x14ac:dyDescent="0.25">
      <c r="D674" s="38">
        <v>0.92548834947030911</v>
      </c>
      <c r="E674" s="4"/>
      <c r="F674" s="4"/>
      <c r="G674" s="4"/>
      <c r="H674" s="4"/>
      <c r="I674" s="4"/>
      <c r="J674" s="4"/>
      <c r="K674" s="4"/>
      <c r="L674" s="4"/>
      <c r="M674" s="7"/>
      <c r="N674" s="7"/>
      <c r="O674" s="4"/>
      <c r="P674" s="4"/>
      <c r="Q674" s="4"/>
      <c r="R674" s="4"/>
      <c r="S674" s="16">
        <v>0.29474055613186789</v>
      </c>
    </row>
    <row r="675" spans="4:19" x14ac:dyDescent="0.25">
      <c r="D675" s="38">
        <v>0.3601530306307944</v>
      </c>
      <c r="E675" s="4"/>
      <c r="F675" s="4"/>
      <c r="G675" s="4"/>
      <c r="H675" s="4"/>
      <c r="I675" s="4"/>
      <c r="J675" s="4"/>
      <c r="K675" s="4"/>
      <c r="L675" s="4"/>
      <c r="M675" s="7"/>
      <c r="N675" s="7"/>
      <c r="O675" s="4"/>
      <c r="P675" s="4"/>
      <c r="Q675" s="4"/>
      <c r="R675" s="4"/>
      <c r="S675" s="16">
        <v>0.76527786448054669</v>
      </c>
    </row>
    <row r="676" spans="4:19" x14ac:dyDescent="0.25">
      <c r="D676" s="38">
        <v>0.20971612132685358</v>
      </c>
      <c r="E676" s="4"/>
      <c r="F676" s="4"/>
      <c r="G676" s="4"/>
      <c r="H676" s="4"/>
      <c r="I676" s="4"/>
      <c r="J676" s="4"/>
      <c r="K676" s="4"/>
      <c r="L676" s="4"/>
      <c r="M676" s="7"/>
      <c r="N676" s="7"/>
      <c r="O676" s="4"/>
      <c r="P676" s="4"/>
      <c r="Q676" s="4"/>
      <c r="R676" s="4"/>
      <c r="S676" s="16">
        <v>0.21350902707843278</v>
      </c>
    </row>
    <row r="677" spans="4:19" x14ac:dyDescent="0.25">
      <c r="D677" s="38">
        <v>0.7791760785478905</v>
      </c>
      <c r="E677" s="4"/>
      <c r="F677" s="4"/>
      <c r="G677" s="4"/>
      <c r="H677" s="4"/>
      <c r="I677" s="4"/>
      <c r="J677" s="4"/>
      <c r="K677" s="4"/>
      <c r="L677" s="4"/>
      <c r="M677" s="7"/>
      <c r="N677" s="7"/>
      <c r="O677" s="4"/>
      <c r="P677" s="4"/>
      <c r="Q677" s="4"/>
      <c r="R677" s="4"/>
      <c r="S677" s="16">
        <v>0.13985768876425442</v>
      </c>
    </row>
    <row r="678" spans="4:19" x14ac:dyDescent="0.25">
      <c r="D678" s="38">
        <v>0.7431432624701475</v>
      </c>
      <c r="E678" s="4"/>
      <c r="F678" s="4"/>
      <c r="G678" s="4"/>
      <c r="H678" s="4"/>
      <c r="I678" s="4"/>
      <c r="J678" s="4"/>
      <c r="K678" s="4"/>
      <c r="L678" s="4"/>
      <c r="M678" s="7"/>
      <c r="N678" s="7"/>
      <c r="O678" s="4"/>
      <c r="P678" s="4"/>
      <c r="Q678" s="4"/>
      <c r="R678" s="4"/>
      <c r="S678" s="16">
        <v>0.22321898079477165</v>
      </c>
    </row>
    <row r="679" spans="4:19" x14ac:dyDescent="0.25">
      <c r="D679" s="38">
        <v>0.98186040074613123</v>
      </c>
      <c r="E679" s="4"/>
      <c r="F679" s="4"/>
      <c r="G679" s="4"/>
      <c r="H679" s="4"/>
      <c r="I679" s="4"/>
      <c r="J679" s="4"/>
      <c r="K679" s="4"/>
      <c r="L679" s="4"/>
      <c r="M679" s="7"/>
      <c r="N679" s="7"/>
      <c r="O679" s="4"/>
      <c r="P679" s="4"/>
      <c r="Q679" s="4"/>
      <c r="R679" s="4"/>
      <c r="S679" s="16">
        <v>0.78298245052177617</v>
      </c>
    </row>
    <row r="680" spans="4:19" x14ac:dyDescent="0.25">
      <c r="D680" s="38">
        <v>0.84970346432170873</v>
      </c>
      <c r="E680" s="4"/>
      <c r="F680" s="4"/>
      <c r="G680" s="4"/>
      <c r="H680" s="4"/>
      <c r="I680" s="4"/>
      <c r="J680" s="4"/>
      <c r="K680" s="4"/>
      <c r="L680" s="4"/>
      <c r="M680" s="7"/>
      <c r="N680" s="7"/>
      <c r="O680" s="4"/>
      <c r="P680" s="4"/>
      <c r="Q680" s="4"/>
      <c r="R680" s="4"/>
      <c r="S680" s="16">
        <v>0.38131599124336124</v>
      </c>
    </row>
    <row r="681" spans="4:19" x14ac:dyDescent="0.25">
      <c r="D681" s="38">
        <v>0.31511618353634763</v>
      </c>
      <c r="E681" s="4"/>
      <c r="F681" s="4"/>
      <c r="G681" s="4"/>
      <c r="H681" s="4"/>
      <c r="I681" s="4"/>
      <c r="J681" s="4"/>
      <c r="K681" s="4"/>
      <c r="L681" s="4"/>
      <c r="M681" s="7"/>
      <c r="N681" s="7"/>
      <c r="O681" s="4"/>
      <c r="P681" s="4"/>
      <c r="Q681" s="4"/>
      <c r="R681" s="4"/>
      <c r="S681" s="16">
        <v>0.83636495586858006</v>
      </c>
    </row>
    <row r="682" spans="4:19" x14ac:dyDescent="0.25">
      <c r="D682" s="38">
        <v>0.4651135731199586</v>
      </c>
      <c r="E682" s="4"/>
      <c r="F682" s="4"/>
      <c r="G682" s="4"/>
      <c r="H682" s="4"/>
      <c r="I682" s="4"/>
      <c r="J682" s="4"/>
      <c r="K682" s="4"/>
      <c r="L682" s="4"/>
      <c r="M682" s="7"/>
      <c r="N682" s="7"/>
      <c r="O682" s="4"/>
      <c r="P682" s="4"/>
      <c r="Q682" s="4"/>
      <c r="R682" s="4"/>
      <c r="S682" s="16">
        <v>0.49476573465269558</v>
      </c>
    </row>
    <row r="683" spans="4:19" x14ac:dyDescent="0.25">
      <c r="D683" s="38">
        <v>0.53051657840465138</v>
      </c>
      <c r="E683" s="4"/>
      <c r="F683" s="4"/>
      <c r="G683" s="4"/>
      <c r="H683" s="4"/>
      <c r="I683" s="4"/>
      <c r="J683" s="4"/>
      <c r="K683" s="4"/>
      <c r="L683" s="4"/>
      <c r="M683" s="7"/>
      <c r="N683" s="7"/>
      <c r="O683" s="4"/>
      <c r="P683" s="4"/>
      <c r="Q683" s="4"/>
      <c r="R683" s="4"/>
      <c r="S683" s="16">
        <v>0.9227051935816486</v>
      </c>
    </row>
    <row r="684" spans="4:19" x14ac:dyDescent="0.25">
      <c r="D684" s="38">
        <v>0.59990148742840022</v>
      </c>
      <c r="E684" s="4"/>
      <c r="F684" s="4"/>
      <c r="G684" s="4"/>
      <c r="H684" s="4"/>
      <c r="I684" s="4"/>
      <c r="J684" s="4"/>
      <c r="K684" s="4"/>
      <c r="L684" s="4"/>
      <c r="M684" s="7"/>
      <c r="N684" s="7"/>
      <c r="O684" s="4"/>
      <c r="P684" s="4"/>
      <c r="Q684" s="4"/>
      <c r="R684" s="4"/>
      <c r="S684" s="16">
        <v>0.25896487773100663</v>
      </c>
    </row>
    <row r="685" spans="4:19" x14ac:dyDescent="0.25">
      <c r="D685" s="38">
        <v>0.93025893089702005</v>
      </c>
      <c r="E685" s="4"/>
      <c r="F685" s="4"/>
      <c r="G685" s="4"/>
      <c r="H685" s="4"/>
      <c r="I685" s="4"/>
      <c r="J685" s="4"/>
      <c r="K685" s="4"/>
      <c r="L685" s="4"/>
      <c r="M685" s="7"/>
      <c r="N685" s="7"/>
      <c r="O685" s="4"/>
      <c r="P685" s="4"/>
      <c r="Q685" s="4"/>
      <c r="R685" s="4"/>
      <c r="S685" s="16">
        <v>0.13332200385097259</v>
      </c>
    </row>
    <row r="686" spans="4:19" x14ac:dyDescent="0.25">
      <c r="D686" s="38">
        <v>0.48655467445915401</v>
      </c>
      <c r="E686" s="4"/>
      <c r="F686" s="4"/>
      <c r="G686" s="4"/>
      <c r="H686" s="4"/>
      <c r="I686" s="4"/>
      <c r="J686" s="4"/>
      <c r="K686" s="4"/>
      <c r="L686" s="4"/>
      <c r="M686" s="7"/>
      <c r="N686" s="7"/>
      <c r="O686" s="4"/>
      <c r="P686" s="4"/>
      <c r="Q686" s="4"/>
      <c r="R686" s="4"/>
      <c r="S686" s="16">
        <v>0.19917107359169606</v>
      </c>
    </row>
    <row r="687" spans="4:19" x14ac:dyDescent="0.25">
      <c r="D687" s="38">
        <v>0.43517692186671708</v>
      </c>
      <c r="E687" s="4"/>
      <c r="F687" s="4"/>
      <c r="G687" s="4"/>
      <c r="H687" s="4"/>
      <c r="I687" s="4"/>
      <c r="J687" s="4"/>
      <c r="K687" s="4"/>
      <c r="L687" s="4"/>
      <c r="M687" s="7"/>
      <c r="N687" s="7"/>
      <c r="O687" s="4"/>
      <c r="P687" s="4"/>
      <c r="Q687" s="4"/>
      <c r="R687" s="4"/>
      <c r="S687" s="16">
        <v>0.9939164862793789</v>
      </c>
    </row>
    <row r="688" spans="4:19" x14ac:dyDescent="0.25">
      <c r="D688" s="38">
        <v>4.9769525327475583E-2</v>
      </c>
      <c r="E688" s="4"/>
      <c r="F688" s="4"/>
      <c r="G688" s="4"/>
      <c r="H688" s="4"/>
      <c r="I688" s="4"/>
      <c r="J688" s="4"/>
      <c r="K688" s="4"/>
      <c r="L688" s="4"/>
      <c r="M688" s="7"/>
      <c r="N688" s="7"/>
      <c r="O688" s="4"/>
      <c r="P688" s="4"/>
      <c r="Q688" s="4"/>
      <c r="R688" s="4"/>
      <c r="S688" s="16">
        <v>0.89454437867597669</v>
      </c>
    </row>
    <row r="689" spans="4:19" x14ac:dyDescent="0.25">
      <c r="D689" s="38">
        <v>0.88137122477722751</v>
      </c>
      <c r="E689" s="4"/>
      <c r="F689" s="4"/>
      <c r="G689" s="4"/>
      <c r="H689" s="4"/>
      <c r="I689" s="4"/>
      <c r="J689" s="4"/>
      <c r="K689" s="4"/>
      <c r="L689" s="4"/>
      <c r="M689" s="7"/>
      <c r="N689" s="7"/>
      <c r="O689" s="4"/>
      <c r="P689" s="4"/>
      <c r="Q689" s="4"/>
      <c r="R689" s="4"/>
      <c r="S689" s="16">
        <v>0.45233865335333467</v>
      </c>
    </row>
    <row r="690" spans="4:19" x14ac:dyDescent="0.25">
      <c r="D690" s="38">
        <v>0.77013343811123391</v>
      </c>
      <c r="E690" s="4"/>
      <c r="F690" s="4"/>
      <c r="G690" s="4"/>
      <c r="H690" s="4"/>
      <c r="I690" s="4"/>
      <c r="J690" s="4"/>
      <c r="K690" s="4"/>
      <c r="L690" s="4"/>
      <c r="M690" s="7"/>
      <c r="N690" s="7"/>
      <c r="O690" s="4"/>
      <c r="P690" s="4"/>
      <c r="Q690" s="4"/>
      <c r="R690" s="4"/>
      <c r="S690" s="16">
        <v>7.7644470864210779E-2</v>
      </c>
    </row>
    <row r="691" spans="4:19" x14ac:dyDescent="0.25">
      <c r="D691" s="38">
        <v>0.81671798288655884</v>
      </c>
      <c r="E691" s="4"/>
      <c r="F691" s="4"/>
      <c r="G691" s="4"/>
      <c r="H691" s="4"/>
      <c r="I691" s="4"/>
      <c r="J691" s="4"/>
      <c r="K691" s="4"/>
      <c r="L691" s="4"/>
      <c r="M691" s="7"/>
      <c r="N691" s="7"/>
      <c r="O691" s="4"/>
      <c r="P691" s="4"/>
      <c r="Q691" s="4"/>
      <c r="R691" s="4"/>
      <c r="S691" s="16">
        <v>0.22350618488113183</v>
      </c>
    </row>
    <row r="692" spans="4:19" x14ac:dyDescent="0.25">
      <c r="D692" s="38">
        <v>0.32447552927529189</v>
      </c>
      <c r="E692" s="4"/>
      <c r="F692" s="4"/>
      <c r="G692" s="4"/>
      <c r="H692" s="4"/>
      <c r="I692" s="4"/>
      <c r="J692" s="4"/>
      <c r="K692" s="4"/>
      <c r="L692" s="4"/>
      <c r="M692" s="7"/>
      <c r="N692" s="7"/>
      <c r="O692" s="4"/>
      <c r="P692" s="4"/>
      <c r="Q692" s="4"/>
      <c r="R692" s="4"/>
      <c r="S692" s="16">
        <v>0.80037288297577691</v>
      </c>
    </row>
    <row r="693" spans="4:19" x14ac:dyDescent="0.25">
      <c r="D693" s="38">
        <v>0.88860319178380553</v>
      </c>
      <c r="E693" s="4"/>
      <c r="F693" s="4"/>
      <c r="G693" s="4"/>
      <c r="H693" s="4"/>
      <c r="I693" s="4"/>
      <c r="J693" s="4"/>
      <c r="K693" s="4"/>
      <c r="L693" s="4"/>
      <c r="M693" s="7"/>
      <c r="N693" s="7"/>
      <c r="O693" s="4"/>
      <c r="P693" s="4"/>
      <c r="Q693" s="4"/>
      <c r="R693" s="4"/>
      <c r="S693" s="16">
        <v>0.33660544554854521</v>
      </c>
    </row>
    <row r="694" spans="4:19" x14ac:dyDescent="0.25">
      <c r="D694" s="38">
        <v>0.16405019750459626</v>
      </c>
      <c r="E694" s="4"/>
      <c r="F694" s="4"/>
      <c r="G694" s="4"/>
      <c r="H694" s="4"/>
      <c r="I694" s="4"/>
      <c r="J694" s="4"/>
      <c r="K694" s="4"/>
      <c r="L694" s="4"/>
      <c r="M694" s="7"/>
      <c r="N694" s="7"/>
      <c r="O694" s="4"/>
      <c r="P694" s="4"/>
      <c r="Q694" s="4"/>
      <c r="R694" s="4"/>
      <c r="S694" s="16">
        <v>0.65951855613568322</v>
      </c>
    </row>
    <row r="695" spans="4:19" x14ac:dyDescent="0.25">
      <c r="D695" s="38">
        <v>0.9909101573758996</v>
      </c>
      <c r="E695" s="4"/>
      <c r="F695" s="4"/>
      <c r="G695" s="4"/>
      <c r="H695" s="4"/>
      <c r="I695" s="4"/>
      <c r="J695" s="4"/>
      <c r="K695" s="4"/>
      <c r="L695" s="4"/>
      <c r="M695" s="7"/>
      <c r="N695" s="7"/>
      <c r="O695" s="4"/>
      <c r="P695" s="4"/>
      <c r="Q695" s="4"/>
      <c r="R695" s="4"/>
      <c r="S695" s="16">
        <v>0.28344820758494915</v>
      </c>
    </row>
    <row r="696" spans="4:19" x14ac:dyDescent="0.25">
      <c r="D696" s="38">
        <v>0.80390405155662792</v>
      </c>
      <c r="E696" s="4"/>
      <c r="F696" s="4"/>
      <c r="G696" s="4"/>
      <c r="H696" s="4"/>
      <c r="I696" s="4"/>
      <c r="J696" s="4"/>
      <c r="K696" s="4"/>
      <c r="L696" s="4"/>
      <c r="M696" s="7"/>
      <c r="N696" s="7"/>
      <c r="O696" s="4"/>
      <c r="P696" s="4"/>
      <c r="Q696" s="4"/>
      <c r="R696" s="4"/>
      <c r="S696" s="16">
        <v>0.88491682657500981</v>
      </c>
    </row>
    <row r="697" spans="4:19" x14ac:dyDescent="0.25">
      <c r="D697" s="38">
        <v>0.36582615306686794</v>
      </c>
      <c r="E697" s="4"/>
      <c r="F697" s="4"/>
      <c r="G697" s="4"/>
      <c r="H697" s="4"/>
      <c r="I697" s="4"/>
      <c r="J697" s="4"/>
      <c r="K697" s="4"/>
      <c r="L697" s="4"/>
      <c r="M697" s="7"/>
      <c r="N697" s="7"/>
      <c r="O697" s="4"/>
      <c r="P697" s="4"/>
      <c r="Q697" s="4"/>
      <c r="R697" s="4"/>
      <c r="S697" s="16">
        <v>0.97299923523113874</v>
      </c>
    </row>
    <row r="698" spans="4:19" x14ac:dyDescent="0.25">
      <c r="D698" s="38">
        <v>0.64114310878472236</v>
      </c>
      <c r="E698" s="4"/>
      <c r="F698" s="4"/>
      <c r="G698" s="4"/>
      <c r="H698" s="4"/>
      <c r="I698" s="4"/>
      <c r="J698" s="4"/>
      <c r="K698" s="4"/>
      <c r="L698" s="4"/>
      <c r="M698" s="7"/>
      <c r="N698" s="7"/>
      <c r="O698" s="4"/>
      <c r="P698" s="4"/>
      <c r="Q698" s="4"/>
      <c r="R698" s="4"/>
      <c r="S698" s="16">
        <v>0.17006952050746538</v>
      </c>
    </row>
    <row r="699" spans="4:19" x14ac:dyDescent="0.25">
      <c r="D699" s="38">
        <v>0.7808148838467559</v>
      </c>
      <c r="E699" s="4"/>
      <c r="F699" s="4"/>
      <c r="G699" s="4"/>
      <c r="H699" s="4"/>
      <c r="I699" s="4"/>
      <c r="J699" s="4"/>
      <c r="K699" s="4"/>
      <c r="L699" s="4"/>
      <c r="M699" s="7"/>
      <c r="N699" s="7"/>
      <c r="O699" s="4"/>
      <c r="P699" s="4"/>
      <c r="Q699" s="4"/>
      <c r="R699" s="4"/>
      <c r="S699" s="16">
        <v>0.89726138867370486</v>
      </c>
    </row>
    <row r="700" spans="4:19" x14ac:dyDescent="0.25">
      <c r="D700" s="38">
        <v>0.95324204572041504</v>
      </c>
      <c r="E700" s="4"/>
      <c r="F700" s="4"/>
      <c r="G700" s="4"/>
      <c r="H700" s="4"/>
      <c r="I700" s="4"/>
      <c r="J700" s="4"/>
      <c r="K700" s="4"/>
      <c r="L700" s="4"/>
      <c r="M700" s="7"/>
      <c r="N700" s="7"/>
      <c r="O700" s="4"/>
      <c r="P700" s="4"/>
      <c r="Q700" s="4"/>
      <c r="R700" s="4"/>
      <c r="S700" s="16">
        <v>0.2028900732920863</v>
      </c>
    </row>
    <row r="701" spans="4:19" x14ac:dyDescent="0.25">
      <c r="D701" s="38">
        <v>0.21107400028007728</v>
      </c>
      <c r="E701" s="4"/>
      <c r="F701" s="4"/>
      <c r="G701" s="4"/>
      <c r="H701" s="4"/>
      <c r="I701" s="4"/>
      <c r="J701" s="4"/>
      <c r="K701" s="4"/>
      <c r="L701" s="4"/>
      <c r="M701" s="7"/>
      <c r="N701" s="7"/>
      <c r="O701" s="4"/>
      <c r="P701" s="4"/>
      <c r="Q701" s="4"/>
      <c r="R701" s="4"/>
      <c r="S701" s="16">
        <v>0.66233208530542587</v>
      </c>
    </row>
    <row r="702" spans="4:19" x14ac:dyDescent="0.25">
      <c r="D702" s="38">
        <v>0.95627027827468347</v>
      </c>
      <c r="E702" s="4"/>
      <c r="F702" s="4"/>
      <c r="G702" s="4"/>
      <c r="H702" s="4"/>
      <c r="I702" s="4"/>
      <c r="J702" s="4"/>
      <c r="K702" s="4"/>
      <c r="L702" s="4"/>
      <c r="M702" s="7"/>
      <c r="N702" s="7"/>
      <c r="O702" s="4"/>
      <c r="P702" s="4"/>
      <c r="Q702" s="4"/>
      <c r="R702" s="4"/>
      <c r="S702" s="16">
        <v>0.82103287494947319</v>
      </c>
    </row>
    <row r="703" spans="4:19" x14ac:dyDescent="0.25">
      <c r="D703" s="38">
        <v>0.40303916073645474</v>
      </c>
      <c r="E703" s="4"/>
      <c r="F703" s="4"/>
      <c r="G703" s="4"/>
      <c r="H703" s="4"/>
      <c r="I703" s="4"/>
      <c r="J703" s="4"/>
      <c r="K703" s="4"/>
      <c r="L703" s="4"/>
      <c r="M703" s="7"/>
      <c r="N703" s="7"/>
      <c r="O703" s="4"/>
      <c r="P703" s="4"/>
      <c r="Q703" s="4"/>
      <c r="R703" s="4"/>
      <c r="S703" s="16">
        <v>0.98503446605646439</v>
      </c>
    </row>
    <row r="704" spans="4:19" x14ac:dyDescent="0.25">
      <c r="D704" s="38">
        <v>5.8531230204483475E-2</v>
      </c>
      <c r="E704" s="4"/>
      <c r="F704" s="4"/>
      <c r="G704" s="4"/>
      <c r="H704" s="4"/>
      <c r="I704" s="4"/>
      <c r="J704" s="4"/>
      <c r="K704" s="4"/>
      <c r="L704" s="4"/>
      <c r="M704" s="7"/>
      <c r="N704" s="7"/>
      <c r="O704" s="4"/>
      <c r="P704" s="4"/>
      <c r="Q704" s="4"/>
      <c r="R704" s="4"/>
      <c r="S704" s="16">
        <v>0.58866463886601406</v>
      </c>
    </row>
    <row r="705" spans="4:19" x14ac:dyDescent="0.25">
      <c r="D705" s="38">
        <v>0.44130032046663903</v>
      </c>
      <c r="E705" s="4"/>
      <c r="F705" s="4"/>
      <c r="G705" s="4"/>
      <c r="H705" s="4"/>
      <c r="I705" s="4"/>
      <c r="J705" s="4"/>
      <c r="K705" s="4"/>
      <c r="L705" s="4"/>
      <c r="M705" s="7"/>
      <c r="N705" s="7"/>
      <c r="O705" s="4"/>
      <c r="P705" s="4"/>
      <c r="Q705" s="4"/>
      <c r="R705" s="4"/>
      <c r="S705" s="16">
        <v>3.4668878996163555E-3</v>
      </c>
    </row>
    <row r="706" spans="4:19" x14ac:dyDescent="0.25">
      <c r="D706" s="38">
        <v>0.250210373719572</v>
      </c>
      <c r="E706" s="4"/>
      <c r="F706" s="4"/>
      <c r="G706" s="4"/>
      <c r="H706" s="4"/>
      <c r="I706" s="4"/>
      <c r="J706" s="4"/>
      <c r="K706" s="4"/>
      <c r="L706" s="4"/>
      <c r="M706" s="7"/>
      <c r="N706" s="7"/>
      <c r="O706" s="4"/>
      <c r="P706" s="4"/>
      <c r="Q706" s="4"/>
      <c r="R706" s="4"/>
      <c r="S706" s="16">
        <v>0.78519705636429349</v>
      </c>
    </row>
    <row r="707" spans="4:19" x14ac:dyDescent="0.25">
      <c r="D707" s="38">
        <v>0.53015648700410467</v>
      </c>
      <c r="E707" s="4"/>
      <c r="F707" s="4"/>
      <c r="G707" s="4"/>
      <c r="H707" s="4"/>
      <c r="I707" s="4"/>
      <c r="J707" s="4"/>
      <c r="K707" s="4"/>
      <c r="L707" s="4"/>
      <c r="M707" s="7"/>
      <c r="N707" s="7"/>
      <c r="O707" s="4"/>
      <c r="P707" s="4"/>
      <c r="Q707" s="4"/>
      <c r="R707" s="4"/>
      <c r="S707" s="16">
        <v>0.81375914153724427</v>
      </c>
    </row>
    <row r="708" spans="4:19" x14ac:dyDescent="0.25">
      <c r="D708" s="38">
        <v>0.44530293082736139</v>
      </c>
      <c r="E708" s="4"/>
      <c r="F708" s="4"/>
      <c r="G708" s="4"/>
      <c r="H708" s="4"/>
      <c r="I708" s="4"/>
      <c r="J708" s="4"/>
      <c r="K708" s="4"/>
      <c r="L708" s="4"/>
      <c r="M708" s="7"/>
      <c r="N708" s="7"/>
      <c r="O708" s="4"/>
      <c r="P708" s="4"/>
      <c r="Q708" s="4"/>
      <c r="R708" s="4"/>
      <c r="S708" s="16">
        <v>0.4643052063833023</v>
      </c>
    </row>
    <row r="709" spans="4:19" x14ac:dyDescent="0.25">
      <c r="D709" s="38">
        <v>0.60347006661063751</v>
      </c>
      <c r="E709" s="4"/>
      <c r="F709" s="4"/>
      <c r="G709" s="4"/>
      <c r="H709" s="4"/>
      <c r="I709" s="4"/>
      <c r="J709" s="4"/>
      <c r="K709" s="4"/>
      <c r="L709" s="4"/>
      <c r="M709" s="7"/>
      <c r="N709" s="7"/>
      <c r="O709" s="4"/>
      <c r="P709" s="4"/>
      <c r="Q709" s="4"/>
      <c r="R709" s="4"/>
      <c r="S709" s="16">
        <v>0.87646833529094847</v>
      </c>
    </row>
    <row r="710" spans="4:19" x14ac:dyDescent="0.25">
      <c r="D710" s="38">
        <v>0.10429828439072586</v>
      </c>
      <c r="E710" s="4"/>
      <c r="F710" s="4"/>
      <c r="G710" s="4"/>
      <c r="H710" s="4"/>
      <c r="I710" s="4"/>
      <c r="J710" s="4"/>
      <c r="K710" s="4"/>
      <c r="L710" s="4"/>
      <c r="M710" s="7"/>
      <c r="N710" s="7"/>
      <c r="O710" s="4"/>
      <c r="P710" s="4"/>
      <c r="Q710" s="4"/>
      <c r="R710" s="4"/>
      <c r="S710" s="16">
        <v>0.65350561475227131</v>
      </c>
    </row>
    <row r="711" spans="4:19" x14ac:dyDescent="0.25">
      <c r="D711" s="38">
        <v>0.43579557491386067</v>
      </c>
      <c r="E711" s="4"/>
      <c r="F711" s="4"/>
      <c r="G711" s="4"/>
      <c r="H711" s="4"/>
      <c r="I711" s="4"/>
      <c r="J711" s="4"/>
      <c r="K711" s="4"/>
      <c r="L711" s="4"/>
      <c r="M711" s="7"/>
      <c r="N711" s="7"/>
      <c r="O711" s="4"/>
      <c r="P711" s="4"/>
      <c r="Q711" s="4"/>
      <c r="R711" s="4"/>
      <c r="S711" s="16">
        <v>0.79698388954632571</v>
      </c>
    </row>
    <row r="712" spans="4:19" x14ac:dyDescent="0.25">
      <c r="D712" s="38">
        <v>0.98238155846879327</v>
      </c>
      <c r="E712" s="4"/>
      <c r="F712" s="4"/>
      <c r="G712" s="4"/>
      <c r="H712" s="4"/>
      <c r="I712" s="4"/>
      <c r="J712" s="4"/>
      <c r="K712" s="4"/>
      <c r="L712" s="4"/>
      <c r="M712" s="7"/>
      <c r="N712" s="7"/>
      <c r="O712" s="4"/>
      <c r="P712" s="4"/>
      <c r="Q712" s="4"/>
      <c r="R712" s="4"/>
      <c r="S712" s="16">
        <v>0.78032337010365649</v>
      </c>
    </row>
    <row r="713" spans="4:19" x14ac:dyDescent="0.25">
      <c r="D713" s="38">
        <v>0.30108978536060971</v>
      </c>
      <c r="E713" s="4"/>
      <c r="F713" s="4"/>
      <c r="G713" s="4"/>
      <c r="H713" s="4"/>
      <c r="I713" s="4"/>
      <c r="J713" s="4"/>
      <c r="K713" s="4"/>
      <c r="L713" s="4"/>
      <c r="M713" s="7"/>
      <c r="N713" s="7"/>
      <c r="O713" s="4"/>
      <c r="P713" s="4"/>
      <c r="Q713" s="4"/>
      <c r="R713" s="4"/>
      <c r="S713" s="16">
        <v>0.72639063267194881</v>
      </c>
    </row>
    <row r="714" spans="4:19" x14ac:dyDescent="0.25">
      <c r="D714" s="38">
        <v>0.94719309128714468</v>
      </c>
      <c r="E714" s="4"/>
      <c r="F714" s="4"/>
      <c r="G714" s="4"/>
      <c r="H714" s="4"/>
      <c r="I714" s="4"/>
      <c r="J714" s="4"/>
      <c r="K714" s="4"/>
      <c r="L714" s="4"/>
      <c r="M714" s="7"/>
      <c r="N714" s="7"/>
      <c r="O714" s="4"/>
      <c r="P714" s="4"/>
      <c r="Q714" s="4"/>
      <c r="R714" s="4"/>
      <c r="S714" s="16">
        <v>0.69708354938397177</v>
      </c>
    </row>
    <row r="715" spans="4:19" x14ac:dyDescent="0.25">
      <c r="D715" s="38">
        <v>5.9788455458199774E-2</v>
      </c>
      <c r="E715" s="4"/>
      <c r="F715" s="4"/>
      <c r="G715" s="4"/>
      <c r="H715" s="4"/>
      <c r="I715" s="4"/>
      <c r="J715" s="4"/>
      <c r="K715" s="4"/>
      <c r="L715" s="4"/>
      <c r="M715" s="7"/>
      <c r="N715" s="7"/>
      <c r="O715" s="4"/>
      <c r="P715" s="4"/>
      <c r="Q715" s="4"/>
      <c r="R715" s="4"/>
      <c r="S715" s="16">
        <v>0.82694219933906954</v>
      </c>
    </row>
    <row r="716" spans="4:19" x14ac:dyDescent="0.25">
      <c r="D716" s="38">
        <v>0.29908288642968384</v>
      </c>
      <c r="E716" s="4"/>
      <c r="F716" s="4"/>
      <c r="G716" s="4"/>
      <c r="H716" s="4"/>
      <c r="I716" s="4"/>
      <c r="J716" s="4"/>
      <c r="K716" s="4"/>
      <c r="L716" s="4"/>
      <c r="M716" s="7"/>
      <c r="N716" s="7"/>
      <c r="O716" s="4"/>
      <c r="P716" s="4"/>
      <c r="Q716" s="4"/>
      <c r="R716" s="4"/>
      <c r="S716" s="16">
        <v>0.49120624901600618</v>
      </c>
    </row>
    <row r="717" spans="4:19" x14ac:dyDescent="0.25">
      <c r="D717" s="38">
        <v>0.85746995168341433</v>
      </c>
      <c r="E717" s="4"/>
      <c r="F717" s="4"/>
      <c r="G717" s="4"/>
      <c r="H717" s="4"/>
      <c r="I717" s="4"/>
      <c r="J717" s="4"/>
      <c r="K717" s="4"/>
      <c r="L717" s="4"/>
      <c r="M717" s="7"/>
      <c r="N717" s="7"/>
      <c r="O717" s="4"/>
      <c r="P717" s="4"/>
      <c r="Q717" s="4"/>
      <c r="R717" s="4"/>
      <c r="S717" s="16">
        <v>0.1720557591032984</v>
      </c>
    </row>
    <row r="718" spans="4:19" x14ac:dyDescent="0.25">
      <c r="D718" s="38">
        <v>0.94481541503920652</v>
      </c>
      <c r="E718" s="4"/>
      <c r="F718" s="4"/>
      <c r="G718" s="4"/>
      <c r="H718" s="4"/>
      <c r="I718" s="4"/>
      <c r="J718" s="4"/>
      <c r="K718" s="4"/>
      <c r="L718" s="4"/>
      <c r="M718" s="7"/>
      <c r="N718" s="7"/>
      <c r="O718" s="4"/>
      <c r="P718" s="4"/>
      <c r="Q718" s="4"/>
      <c r="R718" s="4"/>
      <c r="S718" s="16">
        <v>0.97746873160611292</v>
      </c>
    </row>
    <row r="719" spans="4:19" x14ac:dyDescent="0.25">
      <c r="D719" s="38">
        <v>0.99982501610081498</v>
      </c>
      <c r="E719" s="4"/>
      <c r="F719" s="4"/>
      <c r="G719" s="4"/>
      <c r="H719" s="4"/>
      <c r="I719" s="4"/>
      <c r="J719" s="4"/>
      <c r="K719" s="4"/>
      <c r="L719" s="4"/>
      <c r="M719" s="7"/>
      <c r="N719" s="7"/>
      <c r="O719" s="4"/>
      <c r="P719" s="4"/>
      <c r="Q719" s="4"/>
      <c r="R719" s="4"/>
      <c r="S719" s="16">
        <v>0.11674555458669744</v>
      </c>
    </row>
    <row r="720" spans="4:19" x14ac:dyDescent="0.25">
      <c r="D720" s="38">
        <v>0.27290972347941822</v>
      </c>
      <c r="E720" s="4"/>
      <c r="F720" s="4"/>
      <c r="G720" s="4"/>
      <c r="H720" s="4"/>
      <c r="I720" s="4"/>
      <c r="J720" s="4"/>
      <c r="K720" s="4"/>
      <c r="L720" s="4"/>
      <c r="M720" s="7"/>
      <c r="N720" s="7"/>
      <c r="O720" s="4"/>
      <c r="P720" s="4"/>
      <c r="Q720" s="4"/>
      <c r="R720" s="4"/>
      <c r="S720" s="16">
        <v>0.57538054634972668</v>
      </c>
    </row>
    <row r="721" spans="4:19" x14ac:dyDescent="0.25">
      <c r="D721" s="38">
        <v>9.8176101168960472E-2</v>
      </c>
      <c r="E721" s="4"/>
      <c r="F721" s="4"/>
      <c r="G721" s="4"/>
      <c r="H721" s="4"/>
      <c r="I721" s="4"/>
      <c r="J721" s="4"/>
      <c r="K721" s="4"/>
      <c r="L721" s="4"/>
      <c r="M721" s="7"/>
      <c r="N721" s="7"/>
      <c r="O721" s="4"/>
      <c r="P721" s="4"/>
      <c r="Q721" s="4"/>
      <c r="R721" s="4"/>
      <c r="S721" s="16">
        <v>0.75499035717743423</v>
      </c>
    </row>
    <row r="722" spans="4:19" x14ac:dyDescent="0.25">
      <c r="D722" s="38">
        <v>0.47239951540450098</v>
      </c>
      <c r="E722" s="4"/>
      <c r="F722" s="4"/>
      <c r="G722" s="4"/>
      <c r="H722" s="4"/>
      <c r="I722" s="4"/>
      <c r="J722" s="4"/>
      <c r="K722" s="4"/>
      <c r="L722" s="4"/>
      <c r="M722" s="7"/>
      <c r="N722" s="7"/>
      <c r="O722" s="4"/>
      <c r="P722" s="4"/>
      <c r="Q722" s="4"/>
      <c r="R722" s="4"/>
      <c r="S722" s="16">
        <v>9.0461310309252085E-2</v>
      </c>
    </row>
    <row r="723" spans="4:19" x14ac:dyDescent="0.25">
      <c r="D723" s="38">
        <v>0.91111323074535877</v>
      </c>
      <c r="E723" s="4"/>
      <c r="F723" s="4"/>
      <c r="G723" s="4"/>
      <c r="H723" s="4"/>
      <c r="I723" s="4"/>
      <c r="J723" s="4"/>
      <c r="K723" s="4"/>
      <c r="L723" s="4"/>
      <c r="M723" s="7"/>
      <c r="N723" s="7"/>
      <c r="O723" s="4"/>
      <c r="P723" s="4"/>
      <c r="Q723" s="4"/>
      <c r="R723" s="4"/>
      <c r="S723" s="16">
        <v>0.58055203184857529</v>
      </c>
    </row>
    <row r="724" spans="4:19" x14ac:dyDescent="0.25">
      <c r="D724" s="38">
        <v>0.99614577771843171</v>
      </c>
      <c r="E724" s="4"/>
      <c r="F724" s="4"/>
      <c r="G724" s="4"/>
      <c r="H724" s="4"/>
      <c r="I724" s="4"/>
      <c r="J724" s="4"/>
      <c r="K724" s="4"/>
      <c r="L724" s="4"/>
      <c r="M724" s="7"/>
      <c r="N724" s="7"/>
      <c r="O724" s="4"/>
      <c r="P724" s="4"/>
      <c r="Q724" s="4"/>
      <c r="R724" s="4"/>
      <c r="S724" s="16">
        <v>0.7774993623884201</v>
      </c>
    </row>
    <row r="725" spans="4:19" x14ac:dyDescent="0.25">
      <c r="D725" s="38">
        <v>0.1675778687570475</v>
      </c>
      <c r="E725" s="4"/>
      <c r="F725" s="4"/>
      <c r="G725" s="4"/>
      <c r="H725" s="4"/>
      <c r="I725" s="4"/>
      <c r="J725" s="4"/>
      <c r="K725" s="4"/>
      <c r="L725" s="4"/>
      <c r="M725" s="7"/>
      <c r="N725" s="7"/>
      <c r="O725" s="4"/>
      <c r="P725" s="4"/>
      <c r="Q725" s="4"/>
      <c r="R725" s="4"/>
      <c r="S725" s="16">
        <v>0.28813405338954701</v>
      </c>
    </row>
    <row r="726" spans="4:19" x14ac:dyDescent="0.25">
      <c r="D726" s="38">
        <v>0.89608623653088748</v>
      </c>
      <c r="E726" s="4"/>
      <c r="F726" s="4"/>
      <c r="G726" s="4"/>
      <c r="H726" s="4"/>
      <c r="I726" s="4"/>
      <c r="J726" s="4"/>
      <c r="K726" s="4"/>
      <c r="L726" s="4"/>
      <c r="M726" s="7"/>
      <c r="N726" s="7"/>
      <c r="O726" s="4"/>
      <c r="P726" s="4"/>
      <c r="Q726" s="4"/>
      <c r="R726" s="4"/>
      <c r="S726" s="16">
        <v>0.51576758931707012</v>
      </c>
    </row>
    <row r="727" spans="4:19" x14ac:dyDescent="0.25">
      <c r="D727" s="38">
        <v>0.78091964548510051</v>
      </c>
      <c r="E727" s="4"/>
      <c r="F727" s="4"/>
      <c r="G727" s="4"/>
      <c r="H727" s="4"/>
      <c r="I727" s="4"/>
      <c r="J727" s="4"/>
      <c r="K727" s="4"/>
      <c r="L727" s="4"/>
      <c r="M727" s="7"/>
      <c r="N727" s="7"/>
      <c r="O727" s="4"/>
      <c r="P727" s="4"/>
      <c r="Q727" s="4"/>
      <c r="R727" s="4"/>
      <c r="S727" s="16">
        <v>0.39420497313929859</v>
      </c>
    </row>
    <row r="728" spans="4:19" x14ac:dyDescent="0.25">
      <c r="D728" s="38">
        <v>0.45376144577654187</v>
      </c>
      <c r="E728" s="4"/>
      <c r="F728" s="4"/>
      <c r="G728" s="4"/>
      <c r="H728" s="4"/>
      <c r="I728" s="4"/>
      <c r="J728" s="4"/>
      <c r="K728" s="4"/>
      <c r="L728" s="4"/>
      <c r="M728" s="7"/>
      <c r="N728" s="7"/>
      <c r="O728" s="4"/>
      <c r="P728" s="4"/>
      <c r="Q728" s="4"/>
      <c r="R728" s="4"/>
      <c r="S728" s="16">
        <v>0.74428165274744829</v>
      </c>
    </row>
    <row r="729" spans="4:19" x14ac:dyDescent="0.25">
      <c r="D729" s="38">
        <v>0.79088905372676255</v>
      </c>
      <c r="E729" s="4"/>
      <c r="F729" s="4"/>
      <c r="G729" s="4"/>
      <c r="H729" s="4"/>
      <c r="I729" s="4"/>
      <c r="J729" s="4"/>
      <c r="K729" s="4"/>
      <c r="L729" s="4"/>
      <c r="M729" s="7"/>
      <c r="N729" s="7"/>
      <c r="O729" s="4"/>
      <c r="P729" s="4"/>
      <c r="Q729" s="4"/>
      <c r="R729" s="4"/>
      <c r="S729" s="16">
        <v>0.51846213097956972</v>
      </c>
    </row>
    <row r="730" spans="4:19" x14ac:dyDescent="0.25">
      <c r="D730" s="38">
        <v>4.9222848352948323E-2</v>
      </c>
      <c r="E730" s="4"/>
      <c r="F730" s="4"/>
      <c r="G730" s="4"/>
      <c r="H730" s="4"/>
      <c r="I730" s="4"/>
      <c r="J730" s="4"/>
      <c r="K730" s="4"/>
      <c r="L730" s="4"/>
      <c r="M730" s="7"/>
      <c r="N730" s="7"/>
      <c r="O730" s="4"/>
      <c r="P730" s="4"/>
      <c r="Q730" s="4"/>
      <c r="R730" s="4"/>
      <c r="S730" s="16">
        <v>0.25664699148219494</v>
      </c>
    </row>
    <row r="731" spans="4:19" x14ac:dyDescent="0.25">
      <c r="D731" s="38">
        <v>0.21999675925090256</v>
      </c>
      <c r="E731" s="4"/>
      <c r="F731" s="4"/>
      <c r="G731" s="4"/>
      <c r="H731" s="4"/>
      <c r="I731" s="4"/>
      <c r="J731" s="4"/>
      <c r="K731" s="4"/>
      <c r="L731" s="4"/>
      <c r="M731" s="7"/>
      <c r="N731" s="7"/>
      <c r="O731" s="4"/>
      <c r="P731" s="4"/>
      <c r="Q731" s="4"/>
      <c r="R731" s="4"/>
      <c r="S731" s="16">
        <v>0.69661359703102366</v>
      </c>
    </row>
    <row r="732" spans="4:19" x14ac:dyDescent="0.25">
      <c r="D732" s="38">
        <v>0.38868396645100778</v>
      </c>
      <c r="E732" s="4"/>
      <c r="F732" s="4"/>
      <c r="G732" s="4"/>
      <c r="H732" s="4"/>
      <c r="I732" s="4"/>
      <c r="J732" s="4"/>
      <c r="K732" s="4"/>
      <c r="L732" s="4"/>
      <c r="M732" s="7"/>
      <c r="N732" s="7"/>
      <c r="O732" s="4"/>
      <c r="P732" s="4"/>
      <c r="Q732" s="4"/>
      <c r="R732" s="4"/>
      <c r="S732" s="16">
        <v>0.47559834836317783</v>
      </c>
    </row>
    <row r="733" spans="4:19" x14ac:dyDescent="0.25">
      <c r="D733" s="38">
        <v>0.18574420312131046</v>
      </c>
      <c r="E733" s="4"/>
      <c r="F733" s="4"/>
      <c r="G733" s="4"/>
      <c r="H733" s="4"/>
      <c r="I733" s="4"/>
      <c r="J733" s="4"/>
      <c r="K733" s="4"/>
      <c r="L733" s="4"/>
      <c r="M733" s="7"/>
      <c r="N733" s="7"/>
      <c r="O733" s="4"/>
      <c r="P733" s="4"/>
      <c r="Q733" s="4"/>
      <c r="R733" s="4"/>
      <c r="S733" s="16">
        <v>0.37479814888626228</v>
      </c>
    </row>
    <row r="734" spans="4:19" x14ac:dyDescent="0.25">
      <c r="D734" s="38">
        <v>0.19173561311956644</v>
      </c>
      <c r="E734" s="4"/>
      <c r="F734" s="4"/>
      <c r="G734" s="4"/>
      <c r="H734" s="4"/>
      <c r="I734" s="4"/>
      <c r="J734" s="4"/>
      <c r="K734" s="4"/>
      <c r="L734" s="4"/>
      <c r="M734" s="7"/>
      <c r="N734" s="7"/>
      <c r="O734" s="4"/>
      <c r="P734" s="4"/>
      <c r="Q734" s="4"/>
      <c r="R734" s="4"/>
      <c r="S734" s="16">
        <v>0.25064047680843127</v>
      </c>
    </row>
    <row r="735" spans="4:19" x14ac:dyDescent="0.25">
      <c r="D735" s="38">
        <v>0.49182797110227172</v>
      </c>
      <c r="E735" s="4"/>
      <c r="F735" s="4"/>
      <c r="G735" s="4"/>
      <c r="H735" s="4"/>
      <c r="I735" s="4"/>
      <c r="J735" s="4"/>
      <c r="K735" s="4"/>
      <c r="L735" s="4"/>
      <c r="M735" s="7"/>
      <c r="N735" s="7"/>
      <c r="O735" s="4"/>
      <c r="P735" s="4"/>
      <c r="Q735" s="4"/>
      <c r="R735" s="4"/>
      <c r="S735" s="16">
        <v>0.8350944902002756</v>
      </c>
    </row>
    <row r="736" spans="4:19" x14ac:dyDescent="0.25">
      <c r="D736" s="38">
        <v>0.22349980076357923</v>
      </c>
      <c r="E736" s="4"/>
      <c r="F736" s="4"/>
      <c r="G736" s="4"/>
      <c r="H736" s="4"/>
      <c r="I736" s="4"/>
      <c r="J736" s="4"/>
      <c r="K736" s="4"/>
      <c r="L736" s="4"/>
      <c r="M736" s="7"/>
      <c r="N736" s="7"/>
      <c r="O736" s="4"/>
      <c r="P736" s="4"/>
      <c r="Q736" s="4"/>
      <c r="R736" s="4"/>
      <c r="S736" s="16">
        <v>0.13129004180925907</v>
      </c>
    </row>
    <row r="737" spans="4:19" x14ac:dyDescent="0.25">
      <c r="D737" s="38">
        <v>3.5241434862534948E-2</v>
      </c>
      <c r="E737" s="4"/>
      <c r="F737" s="4"/>
      <c r="G737" s="4"/>
      <c r="H737" s="4"/>
      <c r="I737" s="4"/>
      <c r="J737" s="4"/>
      <c r="K737" s="4"/>
      <c r="L737" s="4"/>
      <c r="M737" s="7"/>
      <c r="N737" s="7"/>
      <c r="O737" s="4"/>
      <c r="P737" s="4"/>
      <c r="Q737" s="4"/>
      <c r="R737" s="4"/>
      <c r="S737" s="16">
        <v>0.63510079284515653</v>
      </c>
    </row>
    <row r="738" spans="4:19" x14ac:dyDescent="0.25">
      <c r="D738" s="38">
        <v>9.792258508534446E-2</v>
      </c>
      <c r="E738" s="4"/>
      <c r="F738" s="4"/>
      <c r="G738" s="4"/>
      <c r="H738" s="4"/>
      <c r="I738" s="4"/>
      <c r="J738" s="4"/>
      <c r="K738" s="4"/>
      <c r="L738" s="4"/>
      <c r="M738" s="7"/>
      <c r="N738" s="7"/>
      <c r="O738" s="4"/>
      <c r="P738" s="4"/>
      <c r="Q738" s="4"/>
      <c r="R738" s="4"/>
      <c r="S738" s="16">
        <v>0.56151022487708824</v>
      </c>
    </row>
    <row r="739" spans="4:19" x14ac:dyDescent="0.25">
      <c r="D739" s="38">
        <v>0.74782017834618086</v>
      </c>
      <c r="E739" s="4"/>
      <c r="F739" s="4"/>
      <c r="G739" s="4"/>
      <c r="H739" s="4"/>
      <c r="I739" s="4"/>
      <c r="J739" s="4"/>
      <c r="K739" s="4"/>
      <c r="L739" s="4"/>
      <c r="M739" s="7"/>
      <c r="N739" s="7"/>
      <c r="O739" s="4"/>
      <c r="P739" s="4"/>
      <c r="Q739" s="4"/>
      <c r="R739" s="4"/>
      <c r="S739" s="16">
        <v>0.26491185010902529</v>
      </c>
    </row>
    <row r="740" spans="4:19" x14ac:dyDescent="0.25">
      <c r="D740" s="38">
        <v>0.11391350097040698</v>
      </c>
      <c r="E740" s="4"/>
      <c r="F740" s="4"/>
      <c r="G740" s="4"/>
      <c r="H740" s="4"/>
      <c r="I740" s="4"/>
      <c r="J740" s="4"/>
      <c r="K740" s="4"/>
      <c r="L740" s="4"/>
      <c r="M740" s="7"/>
      <c r="N740" s="7"/>
      <c r="O740" s="4"/>
      <c r="P740" s="4"/>
      <c r="Q740" s="4"/>
      <c r="R740" s="4"/>
      <c r="S740" s="16">
        <v>0.61698645628911541</v>
      </c>
    </row>
    <row r="741" spans="4:19" x14ac:dyDescent="0.25">
      <c r="D741" s="38">
        <v>0.59973734845737081</v>
      </c>
      <c r="E741" s="4"/>
      <c r="F741" s="4"/>
      <c r="G741" s="4"/>
      <c r="H741" s="4"/>
      <c r="I741" s="4"/>
      <c r="J741" s="4"/>
      <c r="K741" s="4"/>
      <c r="L741" s="4"/>
      <c r="M741" s="7"/>
      <c r="N741" s="7"/>
      <c r="O741" s="4"/>
      <c r="P741" s="4"/>
      <c r="Q741" s="4"/>
      <c r="R741" s="4"/>
      <c r="S741" s="16">
        <v>8.9956589648878094E-2</v>
      </c>
    </row>
    <row r="742" spans="4:19" x14ac:dyDescent="0.25">
      <c r="D742" s="38">
        <v>0.1407906689905426</v>
      </c>
      <c r="E742" s="4"/>
      <c r="F742" s="4"/>
      <c r="G742" s="4"/>
      <c r="H742" s="4"/>
      <c r="I742" s="4"/>
      <c r="J742" s="4"/>
      <c r="K742" s="4"/>
      <c r="L742" s="4"/>
      <c r="M742" s="7"/>
      <c r="N742" s="7"/>
      <c r="O742" s="4"/>
      <c r="P742" s="4"/>
      <c r="Q742" s="4"/>
      <c r="R742" s="4"/>
      <c r="S742" s="16">
        <v>0.15718618385605709</v>
      </c>
    </row>
    <row r="743" spans="4:19" x14ac:dyDescent="0.25">
      <c r="D743" s="38">
        <v>0.17950994678058629</v>
      </c>
      <c r="E743" s="4"/>
      <c r="F743" s="4"/>
      <c r="G743" s="4"/>
      <c r="H743" s="4"/>
      <c r="I743" s="4"/>
      <c r="J743" s="4"/>
      <c r="K743" s="4"/>
      <c r="L743" s="4"/>
      <c r="M743" s="7"/>
      <c r="N743" s="7"/>
      <c r="O743" s="4"/>
      <c r="P743" s="4"/>
      <c r="Q743" s="4"/>
      <c r="R743" s="4"/>
      <c r="S743" s="16">
        <v>7.3311074638025331E-2</v>
      </c>
    </row>
    <row r="744" spans="4:19" x14ac:dyDescent="0.25">
      <c r="D744" s="38">
        <v>4.3897547032942907E-2</v>
      </c>
      <c r="E744" s="4"/>
      <c r="F744" s="4"/>
      <c r="G744" s="4"/>
      <c r="H744" s="4"/>
      <c r="I744" s="4"/>
      <c r="J744" s="4"/>
      <c r="K744" s="4"/>
      <c r="L744" s="4"/>
      <c r="M744" s="7"/>
      <c r="N744" s="7"/>
      <c r="O744" s="4"/>
      <c r="P744" s="4"/>
      <c r="Q744" s="4"/>
      <c r="R744" s="4"/>
      <c r="S744" s="16">
        <v>0.82118121478336414</v>
      </c>
    </row>
    <row r="745" spans="4:19" x14ac:dyDescent="0.25">
      <c r="D745" s="38">
        <v>0.64330606219313924</v>
      </c>
      <c r="E745" s="4"/>
      <c r="F745" s="4"/>
      <c r="G745" s="4"/>
      <c r="H745" s="4"/>
      <c r="I745" s="4"/>
      <c r="J745" s="4"/>
      <c r="K745" s="4"/>
      <c r="L745" s="4"/>
      <c r="M745" s="7"/>
      <c r="N745" s="7"/>
      <c r="O745" s="4"/>
      <c r="P745" s="4"/>
      <c r="Q745" s="4"/>
      <c r="R745" s="4"/>
      <c r="S745" s="16">
        <v>0.90378447455019795</v>
      </c>
    </row>
    <row r="746" spans="4:19" x14ac:dyDescent="0.25">
      <c r="D746" s="38">
        <v>0.28625138576086306</v>
      </c>
      <c r="E746" s="4"/>
      <c r="F746" s="4"/>
      <c r="G746" s="4"/>
      <c r="H746" s="4"/>
      <c r="I746" s="4"/>
      <c r="J746" s="4"/>
      <c r="K746" s="4"/>
      <c r="L746" s="4"/>
      <c r="M746" s="7"/>
      <c r="N746" s="7"/>
      <c r="O746" s="4"/>
      <c r="P746" s="4"/>
      <c r="Q746" s="4"/>
      <c r="R746" s="4"/>
      <c r="S746" s="16">
        <v>0.89657033657779572</v>
      </c>
    </row>
    <row r="747" spans="4:19" x14ac:dyDescent="0.25">
      <c r="D747" s="38">
        <v>0.97923663464571253</v>
      </c>
      <c r="E747" s="4"/>
      <c r="F747" s="4"/>
      <c r="G747" s="4"/>
      <c r="H747" s="4"/>
      <c r="I747" s="4"/>
      <c r="J747" s="4"/>
      <c r="K747" s="4"/>
      <c r="L747" s="4"/>
      <c r="M747" s="7"/>
      <c r="N747" s="7"/>
      <c r="O747" s="4"/>
      <c r="P747" s="4"/>
      <c r="Q747" s="4"/>
      <c r="R747" s="4"/>
      <c r="S747" s="16">
        <v>0.34548941794124355</v>
      </c>
    </row>
    <row r="748" spans="4:19" x14ac:dyDescent="0.25">
      <c r="D748" s="38">
        <v>0.85604591553463016</v>
      </c>
      <c r="E748" s="4"/>
      <c r="F748" s="4"/>
      <c r="G748" s="4"/>
      <c r="H748" s="4"/>
      <c r="I748" s="4"/>
      <c r="J748" s="4"/>
      <c r="K748" s="4"/>
      <c r="L748" s="4"/>
      <c r="M748" s="7"/>
      <c r="N748" s="7"/>
      <c r="O748" s="4"/>
      <c r="P748" s="4"/>
      <c r="Q748" s="4"/>
      <c r="R748" s="4"/>
      <c r="S748" s="16">
        <v>0.50603008728286347</v>
      </c>
    </row>
    <row r="749" spans="4:19" x14ac:dyDescent="0.25">
      <c r="D749" s="38">
        <v>0.81755030739420109</v>
      </c>
      <c r="E749" s="4"/>
      <c r="F749" s="4"/>
      <c r="G749" s="4"/>
      <c r="H749" s="4"/>
      <c r="I749" s="4"/>
      <c r="J749" s="4"/>
      <c r="K749" s="4"/>
      <c r="L749" s="4"/>
      <c r="M749" s="7"/>
      <c r="N749" s="7"/>
      <c r="O749" s="4"/>
      <c r="P749" s="4"/>
      <c r="Q749" s="4"/>
      <c r="R749" s="4"/>
      <c r="S749" s="16">
        <v>0.16376900819079576</v>
      </c>
    </row>
    <row r="750" spans="4:19" x14ac:dyDescent="0.25">
      <c r="D750" s="38">
        <v>0.7902891083825806</v>
      </c>
      <c r="E750" s="4"/>
      <c r="F750" s="4"/>
      <c r="G750" s="4"/>
      <c r="H750" s="4"/>
      <c r="I750" s="4"/>
      <c r="J750" s="4"/>
      <c r="K750" s="4"/>
      <c r="L750" s="4"/>
      <c r="M750" s="7"/>
      <c r="N750" s="7"/>
      <c r="O750" s="4"/>
      <c r="P750" s="4"/>
      <c r="Q750" s="4"/>
      <c r="R750" s="4"/>
      <c r="S750" s="16">
        <v>0.56795807132851162</v>
      </c>
    </row>
    <row r="751" spans="4:19" x14ac:dyDescent="0.25">
      <c r="D751" s="38">
        <v>0.17447084973203475</v>
      </c>
      <c r="E751" s="4"/>
      <c r="F751" s="4"/>
      <c r="G751" s="4"/>
      <c r="H751" s="4"/>
      <c r="I751" s="4"/>
      <c r="J751" s="4"/>
      <c r="K751" s="4"/>
      <c r="L751" s="4"/>
      <c r="M751" s="7"/>
      <c r="N751" s="7"/>
      <c r="O751" s="4"/>
      <c r="P751" s="4"/>
      <c r="Q751" s="4"/>
      <c r="R751" s="4"/>
      <c r="S751" s="16">
        <v>0.64503461296872788</v>
      </c>
    </row>
    <row r="752" spans="4:19" x14ac:dyDescent="0.25">
      <c r="D752" s="38">
        <v>0.31202636450244625</v>
      </c>
      <c r="E752" s="4"/>
      <c r="F752" s="4"/>
      <c r="G752" s="4"/>
      <c r="H752" s="4"/>
      <c r="I752" s="4"/>
      <c r="J752" s="4"/>
      <c r="K752" s="4"/>
      <c r="L752" s="4"/>
      <c r="M752" s="7"/>
      <c r="N752" s="7"/>
      <c r="O752" s="4"/>
      <c r="P752" s="4"/>
      <c r="Q752" s="4"/>
      <c r="R752" s="4"/>
      <c r="S752" s="16">
        <v>0.27270655346681671</v>
      </c>
    </row>
    <row r="753" spans="4:19" x14ac:dyDescent="0.25">
      <c r="D753" s="38">
        <v>0.42366228180513643</v>
      </c>
      <c r="E753" s="4"/>
      <c r="F753" s="4"/>
      <c r="G753" s="4"/>
      <c r="H753" s="4"/>
      <c r="I753" s="4"/>
      <c r="J753" s="4"/>
      <c r="K753" s="4"/>
      <c r="L753" s="4"/>
      <c r="M753" s="7"/>
      <c r="N753" s="7"/>
      <c r="O753" s="4"/>
      <c r="P753" s="4"/>
      <c r="Q753" s="4"/>
      <c r="R753" s="4"/>
      <c r="S753" s="16">
        <v>0.42335146093222176</v>
      </c>
    </row>
    <row r="754" spans="4:19" x14ac:dyDescent="0.25">
      <c r="D754" s="38">
        <v>5.1971231025829456E-2</v>
      </c>
      <c r="E754" s="4"/>
      <c r="F754" s="4"/>
      <c r="G754" s="4"/>
      <c r="H754" s="4"/>
      <c r="I754" s="4"/>
      <c r="J754" s="4"/>
      <c r="K754" s="4"/>
      <c r="L754" s="4"/>
      <c r="M754" s="7"/>
      <c r="N754" s="7"/>
      <c r="O754" s="4"/>
      <c r="P754" s="4"/>
      <c r="Q754" s="4"/>
      <c r="R754" s="4"/>
      <c r="S754" s="16">
        <v>0.28218013865012592</v>
      </c>
    </row>
    <row r="755" spans="4:19" x14ac:dyDescent="0.25">
      <c r="D755" s="38">
        <v>0.5274027306735094</v>
      </c>
      <c r="E755" s="4"/>
      <c r="F755" s="4"/>
      <c r="G755" s="4"/>
      <c r="H755" s="4"/>
      <c r="I755" s="4"/>
      <c r="J755" s="4"/>
      <c r="K755" s="4"/>
      <c r="L755" s="4"/>
      <c r="M755" s="7"/>
      <c r="N755" s="7"/>
      <c r="O755" s="4"/>
      <c r="P755" s="4"/>
      <c r="Q755" s="4"/>
      <c r="R755" s="4"/>
      <c r="S755" s="16">
        <v>0.42342634684168234</v>
      </c>
    </row>
    <row r="756" spans="4:19" x14ac:dyDescent="0.25">
      <c r="D756" s="38">
        <v>0.44926539014231515</v>
      </c>
      <c r="E756" s="4"/>
      <c r="F756" s="4"/>
      <c r="G756" s="4"/>
      <c r="H756" s="4"/>
      <c r="I756" s="4"/>
      <c r="J756" s="4"/>
      <c r="K756" s="4"/>
      <c r="L756" s="4"/>
      <c r="M756" s="7"/>
      <c r="N756" s="7"/>
      <c r="O756" s="4"/>
      <c r="P756" s="4"/>
      <c r="Q756" s="4"/>
      <c r="R756" s="4"/>
      <c r="S756" s="16">
        <v>0.38975956617803509</v>
      </c>
    </row>
    <row r="757" spans="4:19" x14ac:dyDescent="0.25">
      <c r="D757" s="38">
        <v>0.13046914915392616</v>
      </c>
      <c r="E757" s="4"/>
      <c r="F757" s="4"/>
      <c r="G757" s="4"/>
      <c r="H757" s="4"/>
      <c r="I757" s="4"/>
      <c r="J757" s="4"/>
      <c r="K757" s="4"/>
      <c r="L757" s="4"/>
      <c r="M757" s="7"/>
      <c r="N757" s="7"/>
      <c r="O757" s="4"/>
      <c r="P757" s="4"/>
      <c r="Q757" s="4"/>
      <c r="R757" s="4"/>
      <c r="S757" s="16">
        <v>0.42283200512887076</v>
      </c>
    </row>
    <row r="758" spans="4:19" x14ac:dyDescent="0.25">
      <c r="D758" s="38">
        <v>0.40916792826642689</v>
      </c>
      <c r="E758" s="4"/>
      <c r="F758" s="4"/>
      <c r="G758" s="4"/>
      <c r="H758" s="4"/>
      <c r="I758" s="4"/>
      <c r="J758" s="4"/>
      <c r="K758" s="4"/>
      <c r="L758" s="4"/>
      <c r="M758" s="7"/>
      <c r="N758" s="7"/>
      <c r="O758" s="4"/>
      <c r="P758" s="4"/>
      <c r="Q758" s="4"/>
      <c r="R758" s="4"/>
      <c r="S758" s="16">
        <v>0.13591530810894714</v>
      </c>
    </row>
    <row r="759" spans="4:19" x14ac:dyDescent="0.25">
      <c r="D759" s="38">
        <v>0.67337073216047216</v>
      </c>
      <c r="E759" s="4"/>
      <c r="F759" s="4"/>
      <c r="G759" s="4"/>
      <c r="H759" s="4"/>
      <c r="I759" s="4"/>
      <c r="J759" s="4"/>
      <c r="K759" s="4"/>
      <c r="L759" s="4"/>
      <c r="M759" s="7"/>
      <c r="N759" s="7"/>
      <c r="O759" s="4"/>
      <c r="P759" s="4"/>
      <c r="Q759" s="4"/>
      <c r="R759" s="4"/>
      <c r="S759" s="16">
        <v>0.75500774917739288</v>
      </c>
    </row>
    <row r="760" spans="4:19" x14ac:dyDescent="0.25">
      <c r="D760" s="38">
        <v>0.68839818010178633</v>
      </c>
      <c r="E760" s="4"/>
      <c r="F760" s="4"/>
      <c r="G760" s="4"/>
      <c r="H760" s="4"/>
      <c r="I760" s="4"/>
      <c r="J760" s="4"/>
      <c r="K760" s="4"/>
      <c r="L760" s="4"/>
      <c r="M760" s="7"/>
      <c r="N760" s="7"/>
      <c r="O760" s="4"/>
      <c r="P760" s="4"/>
      <c r="Q760" s="4"/>
      <c r="R760" s="4"/>
      <c r="S760" s="16">
        <v>0.92098238187457016</v>
      </c>
    </row>
    <row r="761" spans="4:19" x14ac:dyDescent="0.25">
      <c r="D761" s="38">
        <v>0.26874867271778347</v>
      </c>
      <c r="E761" s="4"/>
      <c r="F761" s="4"/>
      <c r="G761" s="4"/>
      <c r="H761" s="4"/>
      <c r="I761" s="4"/>
      <c r="J761" s="4"/>
      <c r="K761" s="4"/>
      <c r="L761" s="4"/>
      <c r="M761" s="7"/>
      <c r="N761" s="7"/>
      <c r="O761" s="4"/>
      <c r="P761" s="4"/>
      <c r="Q761" s="4"/>
      <c r="R761" s="4"/>
      <c r="S761" s="16">
        <v>0.46783554508003622</v>
      </c>
    </row>
    <row r="762" spans="4:19" x14ac:dyDescent="0.25">
      <c r="D762" s="38">
        <v>0.74903323362403162</v>
      </c>
      <c r="E762" s="4"/>
      <c r="F762" s="4"/>
      <c r="G762" s="4"/>
      <c r="H762" s="4"/>
      <c r="I762" s="4"/>
      <c r="J762" s="4"/>
      <c r="K762" s="4"/>
      <c r="L762" s="4"/>
      <c r="M762" s="7"/>
      <c r="N762" s="7"/>
      <c r="O762" s="4"/>
      <c r="P762" s="4"/>
      <c r="Q762" s="4"/>
      <c r="R762" s="4"/>
      <c r="S762" s="16">
        <v>0.29947406079589378</v>
      </c>
    </row>
    <row r="763" spans="4:19" x14ac:dyDescent="0.25">
      <c r="D763" s="38">
        <v>0.99328219404500739</v>
      </c>
      <c r="E763" s="4"/>
      <c r="F763" s="4"/>
      <c r="G763" s="4"/>
      <c r="H763" s="4"/>
      <c r="I763" s="4"/>
      <c r="J763" s="4"/>
      <c r="K763" s="4"/>
      <c r="L763" s="4"/>
      <c r="M763" s="7"/>
      <c r="N763" s="7"/>
      <c r="O763" s="4"/>
      <c r="P763" s="4"/>
      <c r="Q763" s="4"/>
      <c r="R763" s="4"/>
      <c r="S763" s="16">
        <v>0.34963137626584395</v>
      </c>
    </row>
    <row r="764" spans="4:19" x14ac:dyDescent="0.25">
      <c r="D764" s="38">
        <v>0.12848854777032148</v>
      </c>
      <c r="E764" s="4"/>
      <c r="F764" s="4"/>
      <c r="G764" s="4"/>
      <c r="H764" s="4"/>
      <c r="I764" s="4"/>
      <c r="J764" s="4"/>
      <c r="K764" s="4"/>
      <c r="L764" s="4"/>
      <c r="M764" s="7"/>
      <c r="N764" s="7"/>
      <c r="O764" s="4"/>
      <c r="P764" s="4"/>
      <c r="Q764" s="4"/>
      <c r="R764" s="4"/>
      <c r="S764" s="16">
        <v>0.72637095762717374</v>
      </c>
    </row>
    <row r="765" spans="4:19" x14ac:dyDescent="0.25">
      <c r="D765" s="38">
        <v>0.46739070178486197</v>
      </c>
      <c r="E765" s="4"/>
      <c r="F765" s="4"/>
      <c r="G765" s="4"/>
      <c r="H765" s="4"/>
      <c r="I765" s="4"/>
      <c r="J765" s="4"/>
      <c r="K765" s="4"/>
      <c r="L765" s="4"/>
      <c r="M765" s="7"/>
      <c r="N765" s="7"/>
      <c r="O765" s="4"/>
      <c r="P765" s="4"/>
      <c r="Q765" s="4"/>
      <c r="R765" s="4"/>
      <c r="S765" s="16">
        <v>9.7356621610274363E-2</v>
      </c>
    </row>
    <row r="766" spans="4:19" x14ac:dyDescent="0.25">
      <c r="D766" s="38">
        <v>0.60152485159175206</v>
      </c>
      <c r="E766" s="4"/>
      <c r="F766" s="4"/>
      <c r="G766" s="4"/>
      <c r="H766" s="4"/>
      <c r="I766" s="4"/>
      <c r="J766" s="4"/>
      <c r="K766" s="4"/>
      <c r="L766" s="4"/>
      <c r="M766" s="7"/>
      <c r="N766" s="7"/>
      <c r="O766" s="4"/>
      <c r="P766" s="4"/>
      <c r="Q766" s="4"/>
      <c r="R766" s="4"/>
      <c r="S766" s="16">
        <v>0.46996953427467925</v>
      </c>
    </row>
    <row r="767" spans="4:19" x14ac:dyDescent="0.25">
      <c r="D767" s="38">
        <v>0.47725248051549329</v>
      </c>
      <c r="E767" s="4"/>
      <c r="F767" s="4"/>
      <c r="G767" s="4"/>
      <c r="H767" s="4"/>
      <c r="I767" s="4"/>
      <c r="J767" s="4"/>
      <c r="K767" s="4"/>
      <c r="L767" s="4"/>
      <c r="M767" s="7"/>
      <c r="N767" s="7"/>
      <c r="O767" s="4"/>
      <c r="P767" s="4"/>
      <c r="Q767" s="4"/>
      <c r="R767" s="4"/>
      <c r="S767" s="16">
        <v>0.28291996314165224</v>
      </c>
    </row>
    <row r="768" spans="4:19" x14ac:dyDescent="0.25">
      <c r="D768" s="38">
        <v>0.20807196162010844</v>
      </c>
      <c r="E768" s="4"/>
      <c r="F768" s="4"/>
      <c r="G768" s="4"/>
      <c r="H768" s="4"/>
      <c r="I768" s="4"/>
      <c r="J768" s="4"/>
      <c r="K768" s="4"/>
      <c r="L768" s="4"/>
      <c r="M768" s="7"/>
      <c r="N768" s="7"/>
      <c r="O768" s="4"/>
      <c r="P768" s="4"/>
      <c r="Q768" s="4"/>
      <c r="R768" s="4"/>
      <c r="S768" s="16">
        <v>0.15642102230627652</v>
      </c>
    </row>
    <row r="769" spans="4:19" x14ac:dyDescent="0.25">
      <c r="D769" s="38">
        <v>0.26442958255647331</v>
      </c>
      <c r="E769" s="4"/>
      <c r="F769" s="4"/>
      <c r="G769" s="4"/>
      <c r="H769" s="4"/>
      <c r="I769" s="4"/>
      <c r="J769" s="4"/>
      <c r="K769" s="4"/>
      <c r="L769" s="4"/>
      <c r="M769" s="7"/>
      <c r="N769" s="7"/>
      <c r="O769" s="4"/>
      <c r="P769" s="4"/>
      <c r="Q769" s="4"/>
      <c r="R769" s="4"/>
      <c r="S769" s="16">
        <v>0.18406169012880325</v>
      </c>
    </row>
    <row r="770" spans="4:19" x14ac:dyDescent="0.25">
      <c r="D770" s="38">
        <v>0.5900221464759976</v>
      </c>
      <c r="E770" s="4"/>
      <c r="F770" s="4"/>
      <c r="G770" s="4"/>
      <c r="H770" s="4"/>
      <c r="I770" s="4"/>
      <c r="J770" s="4"/>
      <c r="K770" s="4"/>
      <c r="L770" s="4"/>
      <c r="M770" s="7"/>
      <c r="N770" s="7"/>
      <c r="O770" s="4"/>
      <c r="P770" s="4"/>
      <c r="Q770" s="4"/>
      <c r="R770" s="4"/>
      <c r="S770" s="16">
        <v>3.3947798858660061E-3</v>
      </c>
    </row>
    <row r="771" spans="4:19" x14ac:dyDescent="0.25">
      <c r="D771" s="38">
        <v>0.27751603274456593</v>
      </c>
      <c r="E771" s="4"/>
      <c r="F771" s="4"/>
      <c r="G771" s="4"/>
      <c r="H771" s="4"/>
      <c r="I771" s="4"/>
      <c r="J771" s="4"/>
      <c r="K771" s="4"/>
      <c r="L771" s="4"/>
      <c r="M771" s="7"/>
      <c r="N771" s="7"/>
      <c r="O771" s="4"/>
      <c r="P771" s="4"/>
      <c r="Q771" s="4"/>
      <c r="R771" s="4"/>
      <c r="S771" s="16">
        <v>6.0629334362104936E-2</v>
      </c>
    </row>
    <row r="772" spans="4:19" x14ac:dyDescent="0.25">
      <c r="D772" s="38">
        <v>0.72501634743444043</v>
      </c>
      <c r="E772" s="4"/>
      <c r="F772" s="4"/>
      <c r="G772" s="4"/>
      <c r="H772" s="4"/>
      <c r="I772" s="4"/>
      <c r="J772" s="4"/>
      <c r="K772" s="4"/>
      <c r="L772" s="4"/>
      <c r="M772" s="7"/>
      <c r="N772" s="7"/>
      <c r="O772" s="4"/>
      <c r="P772" s="4"/>
      <c r="Q772" s="4"/>
      <c r="R772" s="4"/>
      <c r="S772" s="16">
        <v>0.6781500375125471</v>
      </c>
    </row>
    <row r="773" spans="4:19" x14ac:dyDescent="0.25">
      <c r="D773" s="38">
        <v>0.49035728177749693</v>
      </c>
      <c r="E773" s="4"/>
      <c r="F773" s="4"/>
      <c r="G773" s="4"/>
      <c r="H773" s="4"/>
      <c r="I773" s="4"/>
      <c r="J773" s="4"/>
      <c r="K773" s="4"/>
      <c r="L773" s="4"/>
      <c r="M773" s="7"/>
      <c r="N773" s="7"/>
      <c r="O773" s="4"/>
      <c r="P773" s="4"/>
      <c r="Q773" s="4"/>
      <c r="R773" s="4"/>
      <c r="S773" s="16">
        <v>0.37213122789009689</v>
      </c>
    </row>
    <row r="774" spans="4:19" x14ac:dyDescent="0.25">
      <c r="D774" s="38">
        <v>0.20249485756259034</v>
      </c>
      <c r="E774" s="4"/>
      <c r="F774" s="4"/>
      <c r="G774" s="4"/>
      <c r="H774" s="4"/>
      <c r="I774" s="4"/>
      <c r="J774" s="4"/>
      <c r="K774" s="4"/>
      <c r="L774" s="4"/>
      <c r="M774" s="7"/>
      <c r="N774" s="7"/>
      <c r="O774" s="4"/>
      <c r="P774" s="4"/>
      <c r="Q774" s="4"/>
      <c r="R774" s="4"/>
      <c r="S774" s="16">
        <v>0.72913626887775873</v>
      </c>
    </row>
    <row r="775" spans="4:19" x14ac:dyDescent="0.25">
      <c r="D775" s="38">
        <v>0.72011103643708152</v>
      </c>
      <c r="E775" s="4"/>
      <c r="F775" s="4"/>
      <c r="G775" s="4"/>
      <c r="H775" s="4"/>
      <c r="I775" s="4"/>
      <c r="J775" s="4"/>
      <c r="K775" s="4"/>
      <c r="L775" s="4"/>
      <c r="M775" s="7"/>
      <c r="N775" s="7"/>
      <c r="O775" s="4"/>
      <c r="P775" s="4"/>
      <c r="Q775" s="4"/>
      <c r="R775" s="4"/>
      <c r="S775" s="16">
        <v>0.31565179811919108</v>
      </c>
    </row>
    <row r="776" spans="4:19" x14ac:dyDescent="0.25">
      <c r="D776" s="38">
        <v>0.834682989061445</v>
      </c>
      <c r="E776" s="4"/>
      <c r="F776" s="4"/>
      <c r="G776" s="4"/>
      <c r="H776" s="4"/>
      <c r="I776" s="4"/>
      <c r="J776" s="4"/>
      <c r="K776" s="4"/>
      <c r="L776" s="4"/>
      <c r="M776" s="7"/>
      <c r="N776" s="7"/>
      <c r="O776" s="4"/>
      <c r="P776" s="4"/>
      <c r="Q776" s="4"/>
      <c r="R776" s="4"/>
      <c r="S776" s="16">
        <v>0.48286760316196065</v>
      </c>
    </row>
    <row r="777" spans="4:19" x14ac:dyDescent="0.25">
      <c r="D777" s="38">
        <v>0.56505607690447923</v>
      </c>
      <c r="E777" s="4"/>
      <c r="F777" s="4"/>
      <c r="G777" s="4"/>
      <c r="H777" s="4"/>
      <c r="I777" s="4"/>
      <c r="J777" s="4"/>
      <c r="K777" s="4"/>
      <c r="L777" s="4"/>
      <c r="M777" s="7"/>
      <c r="N777" s="7"/>
      <c r="O777" s="4"/>
      <c r="P777" s="4"/>
      <c r="Q777" s="4"/>
      <c r="R777" s="4"/>
      <c r="S777" s="16">
        <v>0.18220538503246952</v>
      </c>
    </row>
    <row r="778" spans="4:19" x14ac:dyDescent="0.25">
      <c r="D778" s="38">
        <v>0.19269780557746441</v>
      </c>
      <c r="E778" s="4"/>
      <c r="F778" s="4"/>
      <c r="G778" s="4"/>
      <c r="H778" s="4"/>
      <c r="I778" s="4"/>
      <c r="J778" s="4"/>
      <c r="K778" s="4"/>
      <c r="L778" s="4"/>
      <c r="M778" s="7"/>
      <c r="N778" s="7"/>
      <c r="O778" s="4"/>
      <c r="P778" s="4"/>
      <c r="Q778" s="4"/>
      <c r="R778" s="4"/>
      <c r="S778" s="16">
        <v>0.43333702132098806</v>
      </c>
    </row>
    <row r="779" spans="4:19" x14ac:dyDescent="0.25">
      <c r="D779" s="38">
        <v>0.66633515677062771</v>
      </c>
      <c r="E779" s="4"/>
      <c r="F779" s="4"/>
      <c r="G779" s="4"/>
      <c r="H779" s="4"/>
      <c r="I779" s="4"/>
      <c r="J779" s="4"/>
      <c r="K779" s="4"/>
      <c r="L779" s="4"/>
      <c r="M779" s="7"/>
      <c r="N779" s="7"/>
      <c r="O779" s="4"/>
      <c r="P779" s="4"/>
      <c r="Q779" s="4"/>
      <c r="R779" s="4"/>
      <c r="S779" s="16">
        <v>0.68078255613759253</v>
      </c>
    </row>
    <row r="780" spans="4:19" x14ac:dyDescent="0.25">
      <c r="D780" s="38">
        <v>0.97236795907200013</v>
      </c>
      <c r="E780" s="4"/>
      <c r="F780" s="4"/>
      <c r="G780" s="4"/>
      <c r="H780" s="4"/>
      <c r="I780" s="4"/>
      <c r="J780" s="4"/>
      <c r="K780" s="4"/>
      <c r="L780" s="4"/>
      <c r="M780" s="7"/>
      <c r="N780" s="7"/>
      <c r="O780" s="4"/>
      <c r="P780" s="4"/>
      <c r="Q780" s="4"/>
      <c r="R780" s="4"/>
      <c r="S780" s="16">
        <v>0.28936860047569279</v>
      </c>
    </row>
    <row r="781" spans="4:19" x14ac:dyDescent="0.25">
      <c r="D781" s="38">
        <v>0.89588222766928272</v>
      </c>
      <c r="E781" s="4"/>
      <c r="F781" s="4"/>
      <c r="G781" s="4"/>
      <c r="H781" s="4"/>
      <c r="I781" s="4"/>
      <c r="J781" s="4"/>
      <c r="K781" s="4"/>
      <c r="L781" s="4"/>
      <c r="M781" s="7"/>
      <c r="N781" s="7"/>
      <c r="O781" s="4"/>
      <c r="P781" s="4"/>
      <c r="Q781" s="4"/>
      <c r="R781" s="4"/>
      <c r="S781" s="16">
        <v>0.98457090849452988</v>
      </c>
    </row>
    <row r="782" spans="4:19" x14ac:dyDescent="0.25">
      <c r="D782" s="38">
        <v>0.54738271997263321</v>
      </c>
      <c r="E782" s="4"/>
      <c r="F782" s="4"/>
      <c r="G782" s="4"/>
      <c r="H782" s="4"/>
      <c r="I782" s="4"/>
      <c r="J782" s="4"/>
      <c r="K782" s="4"/>
      <c r="L782" s="4"/>
      <c r="M782" s="7"/>
      <c r="N782" s="7"/>
      <c r="O782" s="4"/>
      <c r="P782" s="4"/>
      <c r="Q782" s="4"/>
      <c r="R782" s="4"/>
      <c r="S782" s="16">
        <v>0.53033132567372521</v>
      </c>
    </row>
    <row r="783" spans="4:19" x14ac:dyDescent="0.25">
      <c r="D783" s="38">
        <v>0.58741273985786213</v>
      </c>
      <c r="E783" s="4"/>
      <c r="F783" s="4"/>
      <c r="G783" s="4"/>
      <c r="H783" s="4"/>
      <c r="I783" s="4"/>
      <c r="J783" s="4"/>
      <c r="K783" s="4"/>
      <c r="L783" s="4"/>
      <c r="M783" s="7"/>
      <c r="N783" s="7"/>
      <c r="O783" s="4"/>
      <c r="P783" s="4"/>
      <c r="Q783" s="4"/>
      <c r="R783" s="4"/>
      <c r="S783" s="16">
        <v>0.45140159891451037</v>
      </c>
    </row>
    <row r="784" spans="4:19" x14ac:dyDescent="0.25">
      <c r="D784" s="38">
        <v>0.27230290144634361</v>
      </c>
      <c r="E784" s="4"/>
      <c r="F784" s="4"/>
      <c r="G784" s="4"/>
      <c r="H784" s="4"/>
      <c r="I784" s="4"/>
      <c r="J784" s="4"/>
      <c r="K784" s="4"/>
      <c r="L784" s="4"/>
      <c r="M784" s="7"/>
      <c r="N784" s="7"/>
      <c r="O784" s="4"/>
      <c r="P784" s="4"/>
      <c r="Q784" s="4"/>
      <c r="R784" s="4"/>
      <c r="S784" s="16">
        <v>0.79960653834948126</v>
      </c>
    </row>
    <row r="785" spans="4:19" x14ac:dyDescent="0.25">
      <c r="D785" s="38">
        <v>2.0047947166194735E-2</v>
      </c>
      <c r="E785" s="4"/>
      <c r="F785" s="4"/>
      <c r="G785" s="4"/>
      <c r="H785" s="4"/>
      <c r="I785" s="4"/>
      <c r="J785" s="4"/>
      <c r="K785" s="4"/>
      <c r="L785" s="4"/>
      <c r="M785" s="7"/>
      <c r="N785" s="7"/>
      <c r="O785" s="4"/>
      <c r="P785" s="4"/>
      <c r="Q785" s="4"/>
      <c r="R785" s="4"/>
      <c r="S785" s="16">
        <v>0.75619900297327625</v>
      </c>
    </row>
    <row r="786" spans="4:19" x14ac:dyDescent="0.25">
      <c r="D786" s="38">
        <v>0.27076753646815033</v>
      </c>
      <c r="E786" s="4"/>
      <c r="F786" s="4"/>
      <c r="G786" s="4"/>
      <c r="H786" s="4"/>
      <c r="I786" s="4"/>
      <c r="J786" s="4"/>
      <c r="K786" s="4"/>
      <c r="L786" s="4"/>
      <c r="M786" s="7"/>
      <c r="N786" s="7"/>
      <c r="O786" s="4"/>
      <c r="P786" s="4"/>
      <c r="Q786" s="4"/>
      <c r="R786" s="4"/>
      <c r="S786" s="16">
        <v>0.83354989390545031</v>
      </c>
    </row>
    <row r="787" spans="4:19" x14ac:dyDescent="0.25">
      <c r="D787" s="38">
        <v>0.45232308772430074</v>
      </c>
      <c r="E787" s="4"/>
      <c r="F787" s="4"/>
      <c r="G787" s="4"/>
      <c r="H787" s="4"/>
      <c r="I787" s="4"/>
      <c r="J787" s="4"/>
      <c r="K787" s="4"/>
      <c r="L787" s="4"/>
      <c r="M787" s="7"/>
      <c r="N787" s="7"/>
      <c r="O787" s="4"/>
      <c r="P787" s="4"/>
      <c r="Q787" s="4"/>
      <c r="R787" s="4"/>
      <c r="S787" s="16">
        <v>0.81146785677830657</v>
      </c>
    </row>
    <row r="788" spans="4:19" x14ac:dyDescent="0.25">
      <c r="D788" s="38">
        <v>0.59957209461351035</v>
      </c>
      <c r="E788" s="4"/>
      <c r="F788" s="4"/>
      <c r="G788" s="4"/>
      <c r="H788" s="4"/>
      <c r="I788" s="4"/>
      <c r="J788" s="4"/>
      <c r="K788" s="4"/>
      <c r="L788" s="4"/>
      <c r="M788" s="7"/>
      <c r="N788" s="7"/>
      <c r="O788" s="4"/>
      <c r="P788" s="4"/>
      <c r="Q788" s="4"/>
      <c r="R788" s="4"/>
      <c r="S788" s="16">
        <v>0.24762759850962068</v>
      </c>
    </row>
    <row r="789" spans="4:19" x14ac:dyDescent="0.25">
      <c r="D789" s="38">
        <v>0.1932450248831844</v>
      </c>
      <c r="E789" s="4"/>
      <c r="F789" s="4"/>
      <c r="G789" s="4"/>
      <c r="H789" s="4"/>
      <c r="I789" s="4"/>
      <c r="J789" s="4"/>
      <c r="K789" s="4"/>
      <c r="L789" s="4"/>
      <c r="M789" s="7"/>
      <c r="N789" s="7"/>
      <c r="O789" s="4"/>
      <c r="P789" s="4"/>
      <c r="Q789" s="4"/>
      <c r="R789" s="4"/>
      <c r="S789" s="16">
        <v>0.17201056149771154</v>
      </c>
    </row>
    <row r="790" spans="4:19" x14ac:dyDescent="0.25">
      <c r="D790" s="38">
        <v>0.82823045427215436</v>
      </c>
      <c r="E790" s="4"/>
      <c r="F790" s="4"/>
      <c r="G790" s="4"/>
      <c r="H790" s="4"/>
      <c r="I790" s="4"/>
      <c r="J790" s="4"/>
      <c r="K790" s="4"/>
      <c r="L790" s="4"/>
      <c r="M790" s="7"/>
      <c r="N790" s="7"/>
      <c r="O790" s="4"/>
      <c r="P790" s="4"/>
      <c r="Q790" s="4"/>
      <c r="R790" s="4"/>
      <c r="S790" s="16">
        <v>0.98911035503071276</v>
      </c>
    </row>
    <row r="791" spans="4:19" x14ac:dyDescent="0.25">
      <c r="D791" s="38">
        <v>0.9058795152764938</v>
      </c>
      <c r="E791" s="4"/>
      <c r="F791" s="4"/>
      <c r="G791" s="4"/>
      <c r="H791" s="4"/>
      <c r="I791" s="4"/>
      <c r="J791" s="4"/>
      <c r="K791" s="4"/>
      <c r="L791" s="4"/>
      <c r="M791" s="7"/>
      <c r="N791" s="7"/>
      <c r="O791" s="4"/>
      <c r="P791" s="4"/>
      <c r="Q791" s="4"/>
      <c r="R791" s="4"/>
      <c r="S791" s="16">
        <v>3.4550527137107823E-2</v>
      </c>
    </row>
    <row r="792" spans="4:19" x14ac:dyDescent="0.25">
      <c r="D792" s="38">
        <v>0.86056205775735162</v>
      </c>
      <c r="E792" s="4"/>
      <c r="F792" s="4"/>
      <c r="G792" s="4"/>
      <c r="H792" s="4"/>
      <c r="I792" s="4"/>
      <c r="J792" s="4"/>
      <c r="K792" s="4"/>
      <c r="L792" s="4"/>
      <c r="M792" s="7"/>
      <c r="N792" s="7"/>
      <c r="O792" s="4"/>
      <c r="P792" s="4"/>
      <c r="Q792" s="4"/>
      <c r="R792" s="4"/>
      <c r="S792" s="16">
        <v>0.14582286134715872</v>
      </c>
    </row>
    <row r="793" spans="4:19" x14ac:dyDescent="0.25">
      <c r="D793" s="38">
        <v>0.85730923110684765</v>
      </c>
      <c r="E793" s="4"/>
      <c r="F793" s="4"/>
      <c r="G793" s="4"/>
      <c r="H793" s="4"/>
      <c r="I793" s="4"/>
      <c r="J793" s="4"/>
      <c r="K793" s="4"/>
      <c r="L793" s="4"/>
      <c r="M793" s="7"/>
      <c r="N793" s="7"/>
      <c r="O793" s="4"/>
      <c r="P793" s="4"/>
      <c r="Q793" s="4"/>
      <c r="R793" s="4"/>
      <c r="S793" s="16">
        <v>2.4311626098714734E-2</v>
      </c>
    </row>
    <row r="794" spans="4:19" x14ac:dyDescent="0.25">
      <c r="D794" s="38">
        <v>0.14266181645098697</v>
      </c>
      <c r="E794" s="4"/>
      <c r="F794" s="4"/>
      <c r="G794" s="4"/>
      <c r="H794" s="4"/>
      <c r="I794" s="4"/>
      <c r="J794" s="4"/>
      <c r="K794" s="4"/>
      <c r="L794" s="4"/>
      <c r="M794" s="7"/>
      <c r="N794" s="7"/>
      <c r="O794" s="4"/>
      <c r="P794" s="4"/>
      <c r="Q794" s="4"/>
      <c r="R794" s="4"/>
      <c r="S794" s="16">
        <v>0.31384183035945834</v>
      </c>
    </row>
    <row r="795" spans="4:19" x14ac:dyDescent="0.25">
      <c r="D795" s="38">
        <v>0.62555038908789995</v>
      </c>
      <c r="E795" s="4"/>
      <c r="F795" s="4"/>
      <c r="G795" s="4"/>
      <c r="H795" s="4"/>
      <c r="I795" s="4"/>
      <c r="J795" s="4"/>
      <c r="K795" s="4"/>
      <c r="L795" s="4"/>
      <c r="M795" s="7"/>
      <c r="N795" s="7"/>
      <c r="O795" s="4"/>
      <c r="P795" s="4"/>
      <c r="Q795" s="4"/>
      <c r="R795" s="4"/>
      <c r="S795" s="16">
        <v>0.8950774668868563</v>
      </c>
    </row>
    <row r="796" spans="4:19" x14ac:dyDescent="0.25">
      <c r="D796" s="38">
        <v>0.72060689948164447</v>
      </c>
      <c r="E796" s="4"/>
      <c r="F796" s="4"/>
      <c r="G796" s="4"/>
      <c r="H796" s="4"/>
      <c r="I796" s="4"/>
      <c r="J796" s="4"/>
      <c r="K796" s="4"/>
      <c r="L796" s="4"/>
      <c r="M796" s="7"/>
      <c r="N796" s="7"/>
      <c r="O796" s="4"/>
      <c r="P796" s="4"/>
      <c r="Q796" s="4"/>
      <c r="R796" s="4"/>
      <c r="S796" s="16">
        <v>0.30449831005704076</v>
      </c>
    </row>
    <row r="797" spans="4:19" x14ac:dyDescent="0.25">
      <c r="D797" s="38">
        <v>0.6560077120312553</v>
      </c>
      <c r="E797" s="4"/>
      <c r="F797" s="4"/>
      <c r="G797" s="4"/>
      <c r="H797" s="4"/>
      <c r="I797" s="4"/>
      <c r="J797" s="4"/>
      <c r="K797" s="4"/>
      <c r="L797" s="4"/>
      <c r="M797" s="7"/>
      <c r="N797" s="7"/>
      <c r="O797" s="4"/>
      <c r="P797" s="4"/>
      <c r="Q797" s="4"/>
      <c r="R797" s="4"/>
      <c r="S797" s="16">
        <v>0.15895260989611659</v>
      </c>
    </row>
    <row r="798" spans="4:19" x14ac:dyDescent="0.25">
      <c r="D798" s="38">
        <v>0.47334983345533943</v>
      </c>
      <c r="E798" s="4"/>
      <c r="F798" s="4"/>
      <c r="G798" s="4"/>
      <c r="H798" s="4"/>
      <c r="I798" s="4"/>
      <c r="J798" s="4"/>
      <c r="K798" s="4"/>
      <c r="L798" s="4"/>
      <c r="M798" s="7"/>
      <c r="N798" s="7"/>
      <c r="O798" s="4"/>
      <c r="P798" s="4"/>
      <c r="Q798" s="4"/>
      <c r="R798" s="4"/>
      <c r="S798" s="16">
        <v>0.11591611231723009</v>
      </c>
    </row>
    <row r="799" spans="4:19" x14ac:dyDescent="0.25">
      <c r="D799" s="38">
        <v>0.49965496795705444</v>
      </c>
      <c r="E799" s="4"/>
      <c r="F799" s="4"/>
      <c r="G799" s="4"/>
      <c r="H799" s="4"/>
      <c r="I799" s="4"/>
      <c r="J799" s="4"/>
      <c r="K799" s="4"/>
      <c r="L799" s="4"/>
      <c r="M799" s="7"/>
      <c r="N799" s="7"/>
      <c r="O799" s="4"/>
      <c r="P799" s="4"/>
      <c r="Q799" s="4"/>
      <c r="R799" s="4"/>
      <c r="S799" s="16">
        <v>3.6883107478843047E-2</v>
      </c>
    </row>
    <row r="800" spans="4:19" x14ac:dyDescent="0.25">
      <c r="D800" s="38">
        <v>0.83512443770436351</v>
      </c>
      <c r="E800" s="4"/>
      <c r="F800" s="4"/>
      <c r="G800" s="4"/>
      <c r="H800" s="4"/>
      <c r="I800" s="4"/>
      <c r="J800" s="4"/>
      <c r="K800" s="4"/>
      <c r="L800" s="4"/>
      <c r="M800" s="7"/>
      <c r="N800" s="7"/>
      <c r="O800" s="4"/>
      <c r="P800" s="4"/>
      <c r="Q800" s="4"/>
      <c r="R800" s="4"/>
      <c r="S800" s="16">
        <v>0.98098368775678768</v>
      </c>
    </row>
    <row r="801" spans="4:19" x14ac:dyDescent="0.25">
      <c r="D801" s="38">
        <v>7.3725702907079249E-2</v>
      </c>
      <c r="E801" s="4"/>
      <c r="F801" s="4"/>
      <c r="G801" s="4"/>
      <c r="H801" s="4"/>
      <c r="I801" s="4"/>
      <c r="J801" s="4"/>
      <c r="K801" s="4"/>
      <c r="L801" s="4"/>
      <c r="M801" s="7"/>
      <c r="N801" s="7"/>
      <c r="O801" s="4"/>
      <c r="P801" s="4"/>
      <c r="Q801" s="4"/>
      <c r="R801" s="4"/>
      <c r="S801" s="16">
        <v>0.74142056535199885</v>
      </c>
    </row>
    <row r="802" spans="4:19" x14ac:dyDescent="0.25">
      <c r="D802" s="38">
        <v>0.40206166891318607</v>
      </c>
      <c r="E802" s="4"/>
      <c r="F802" s="4"/>
      <c r="G802" s="4"/>
      <c r="H802" s="4"/>
      <c r="I802" s="4"/>
      <c r="J802" s="4"/>
      <c r="K802" s="4"/>
      <c r="L802" s="4"/>
      <c r="M802" s="7"/>
      <c r="N802" s="7"/>
      <c r="O802" s="4"/>
      <c r="P802" s="4"/>
      <c r="Q802" s="4"/>
      <c r="R802" s="4"/>
      <c r="S802" s="16">
        <v>0.20716982783648363</v>
      </c>
    </row>
    <row r="803" spans="4:19" x14ac:dyDescent="0.25">
      <c r="D803" s="38">
        <v>7.4488346649042803E-2</v>
      </c>
      <c r="E803" s="4"/>
      <c r="F803" s="4"/>
      <c r="G803" s="4"/>
      <c r="H803" s="4"/>
      <c r="I803" s="4"/>
      <c r="J803" s="4"/>
      <c r="K803" s="4"/>
      <c r="L803" s="4"/>
      <c r="M803" s="7"/>
      <c r="N803" s="7"/>
      <c r="O803" s="4"/>
      <c r="P803" s="4"/>
      <c r="Q803" s="4"/>
      <c r="R803" s="4"/>
      <c r="S803" s="16">
        <v>0.55846597147061128</v>
      </c>
    </row>
    <row r="804" spans="4:19" x14ac:dyDescent="0.25">
      <c r="D804" s="38">
        <v>0.5609509113003861</v>
      </c>
      <c r="E804" s="4"/>
      <c r="F804" s="4"/>
      <c r="G804" s="4"/>
      <c r="H804" s="4"/>
      <c r="I804" s="4"/>
      <c r="J804" s="4"/>
      <c r="K804" s="4"/>
      <c r="L804" s="4"/>
      <c r="M804" s="7"/>
      <c r="N804" s="7"/>
      <c r="O804" s="4"/>
      <c r="P804" s="4"/>
      <c r="Q804" s="4"/>
      <c r="R804" s="4"/>
      <c r="S804" s="16">
        <v>5.08047665279594E-2</v>
      </c>
    </row>
    <row r="805" spans="4:19" x14ac:dyDescent="0.25">
      <c r="D805" s="38">
        <v>0.71903683055661405</v>
      </c>
      <c r="E805" s="4"/>
      <c r="F805" s="4"/>
      <c r="G805" s="4"/>
      <c r="H805" s="4"/>
      <c r="I805" s="4"/>
      <c r="J805" s="4"/>
      <c r="K805" s="4"/>
      <c r="L805" s="4"/>
      <c r="M805" s="7"/>
      <c r="N805" s="7"/>
      <c r="O805" s="4"/>
      <c r="P805" s="4"/>
      <c r="Q805" s="4"/>
      <c r="R805" s="4"/>
      <c r="S805" s="16">
        <v>0.67375962629040198</v>
      </c>
    </row>
    <row r="806" spans="4:19" x14ac:dyDescent="0.25">
      <c r="D806" s="38">
        <v>0.57180564498700737</v>
      </c>
      <c r="E806" s="4"/>
      <c r="F806" s="4"/>
      <c r="G806" s="4"/>
      <c r="H806" s="4"/>
      <c r="I806" s="4"/>
      <c r="J806" s="4"/>
      <c r="K806" s="4"/>
      <c r="L806" s="4"/>
      <c r="M806" s="7"/>
      <c r="N806" s="7"/>
      <c r="O806" s="4"/>
      <c r="P806" s="4"/>
      <c r="Q806" s="4"/>
      <c r="R806" s="4"/>
      <c r="S806" s="16">
        <v>0.87206429362450832</v>
      </c>
    </row>
    <row r="807" spans="4:19" x14ac:dyDescent="0.25">
      <c r="D807" s="38">
        <v>0.53673286620052896</v>
      </c>
      <c r="E807" s="4"/>
      <c r="F807" s="4"/>
      <c r="G807" s="4"/>
      <c r="H807" s="4"/>
      <c r="I807" s="4"/>
      <c r="J807" s="4"/>
      <c r="K807" s="4"/>
      <c r="L807" s="4"/>
      <c r="M807" s="7"/>
      <c r="N807" s="7"/>
      <c r="O807" s="4"/>
      <c r="P807" s="4"/>
      <c r="Q807" s="4"/>
      <c r="R807" s="4"/>
      <c r="S807" s="16">
        <v>0.78702067097057415</v>
      </c>
    </row>
    <row r="808" spans="4:19" x14ac:dyDescent="0.25">
      <c r="D808" s="38">
        <v>0.11006671331473017</v>
      </c>
      <c r="E808" s="4"/>
      <c r="F808" s="4"/>
      <c r="G808" s="4"/>
      <c r="H808" s="4"/>
      <c r="I808" s="4"/>
      <c r="J808" s="4"/>
      <c r="K808" s="4"/>
      <c r="L808" s="4"/>
      <c r="M808" s="7"/>
      <c r="N808" s="7"/>
      <c r="O808" s="4"/>
      <c r="P808" s="4"/>
      <c r="Q808" s="4"/>
      <c r="R808" s="4"/>
      <c r="S808" s="16">
        <v>0.36729954415426946</v>
      </c>
    </row>
    <row r="809" spans="4:19" x14ac:dyDescent="0.25">
      <c r="D809" s="38">
        <v>0.76735742574811017</v>
      </c>
      <c r="E809" s="4"/>
      <c r="F809" s="4"/>
      <c r="G809" s="4"/>
      <c r="H809" s="4"/>
      <c r="I809" s="4"/>
      <c r="J809" s="4"/>
      <c r="K809" s="4"/>
      <c r="L809" s="4"/>
      <c r="M809" s="7"/>
      <c r="N809" s="7"/>
      <c r="O809" s="4"/>
      <c r="P809" s="4"/>
      <c r="Q809" s="4"/>
      <c r="R809" s="4"/>
      <c r="S809" s="16">
        <v>0.51484797388220704</v>
      </c>
    </row>
    <row r="810" spans="4:19" x14ac:dyDescent="0.25">
      <c r="D810" s="38">
        <v>0.95830498187666713</v>
      </c>
      <c r="E810" s="4"/>
      <c r="F810" s="4"/>
      <c r="G810" s="4"/>
      <c r="H810" s="4"/>
      <c r="I810" s="4"/>
      <c r="J810" s="4"/>
      <c r="K810" s="4"/>
      <c r="L810" s="4"/>
      <c r="M810" s="7"/>
      <c r="N810" s="7"/>
      <c r="O810" s="4"/>
      <c r="P810" s="4"/>
      <c r="Q810" s="4"/>
      <c r="R810" s="4"/>
      <c r="S810" s="16">
        <v>0.16792017859043051</v>
      </c>
    </row>
    <row r="811" spans="4:19" x14ac:dyDescent="0.25">
      <c r="D811" s="38">
        <v>0.63988777997664348</v>
      </c>
      <c r="E811" s="4"/>
      <c r="F811" s="4"/>
      <c r="G811" s="4"/>
      <c r="H811" s="4"/>
      <c r="I811" s="4"/>
      <c r="J811" s="4"/>
      <c r="K811" s="4"/>
      <c r="L811" s="4"/>
      <c r="M811" s="7"/>
      <c r="N811" s="7"/>
      <c r="O811" s="4"/>
      <c r="P811" s="4"/>
      <c r="Q811" s="4"/>
      <c r="R811" s="4"/>
      <c r="S811" s="16">
        <v>0.13010036709362915</v>
      </c>
    </row>
    <row r="812" spans="4:19" x14ac:dyDescent="0.25">
      <c r="D812" s="38">
        <v>0.14231799434318149</v>
      </c>
      <c r="E812" s="4"/>
      <c r="F812" s="4"/>
      <c r="G812" s="4"/>
      <c r="H812" s="4"/>
      <c r="I812" s="4"/>
      <c r="J812" s="4"/>
      <c r="K812" s="4"/>
      <c r="L812" s="4"/>
      <c r="M812" s="7"/>
      <c r="N812" s="7"/>
      <c r="O812" s="4"/>
      <c r="P812" s="4"/>
      <c r="Q812" s="4"/>
      <c r="R812" s="4"/>
      <c r="S812" s="16">
        <v>0.47774965550766346</v>
      </c>
    </row>
    <row r="813" spans="4:19" x14ac:dyDescent="0.25">
      <c r="D813" s="38">
        <v>0.8929835800988617</v>
      </c>
      <c r="E813" s="4"/>
      <c r="F813" s="4"/>
      <c r="G813" s="4"/>
      <c r="H813" s="4"/>
      <c r="I813" s="4"/>
      <c r="J813" s="4"/>
      <c r="K813" s="4"/>
      <c r="L813" s="4"/>
      <c r="M813" s="7"/>
      <c r="N813" s="7"/>
      <c r="O813" s="4"/>
      <c r="P813" s="4"/>
      <c r="Q813" s="4"/>
      <c r="R813" s="4"/>
      <c r="S813" s="16">
        <v>0.52240915765645257</v>
      </c>
    </row>
    <row r="814" spans="4:19" x14ac:dyDescent="0.25">
      <c r="D814" s="38">
        <v>0.57123562638392755</v>
      </c>
      <c r="E814" s="4"/>
      <c r="F814" s="4"/>
      <c r="G814" s="4"/>
      <c r="H814" s="4"/>
      <c r="I814" s="4"/>
      <c r="J814" s="4"/>
      <c r="K814" s="4"/>
      <c r="L814" s="4"/>
      <c r="M814" s="7"/>
      <c r="N814" s="7"/>
      <c r="O814" s="4"/>
      <c r="P814" s="4"/>
      <c r="Q814" s="4"/>
      <c r="R814" s="4"/>
      <c r="S814" s="16">
        <v>0.38692809522253635</v>
      </c>
    </row>
    <row r="815" spans="4:19" x14ac:dyDescent="0.25">
      <c r="D815" s="38">
        <v>0.41296675113853898</v>
      </c>
      <c r="E815" s="4"/>
      <c r="F815" s="4"/>
      <c r="G815" s="4"/>
      <c r="H815" s="4"/>
      <c r="I815" s="4"/>
      <c r="J815" s="4"/>
      <c r="K815" s="4"/>
      <c r="L815" s="4"/>
      <c r="M815" s="7"/>
      <c r="N815" s="7"/>
      <c r="O815" s="4"/>
      <c r="P815" s="4"/>
      <c r="Q815" s="4"/>
      <c r="R815" s="4"/>
      <c r="S815" s="16">
        <v>0.52433080616793837</v>
      </c>
    </row>
    <row r="816" spans="4:19" x14ac:dyDescent="0.25">
      <c r="D816" s="38">
        <v>0.20938498478330969</v>
      </c>
      <c r="E816" s="4"/>
      <c r="F816" s="4"/>
      <c r="G816" s="4"/>
      <c r="H816" s="4"/>
      <c r="I816" s="4"/>
      <c r="J816" s="4"/>
      <c r="K816" s="4"/>
      <c r="L816" s="4"/>
      <c r="M816" s="7"/>
      <c r="N816" s="7"/>
      <c r="O816" s="4"/>
      <c r="P816" s="4"/>
      <c r="Q816" s="4"/>
      <c r="R816" s="4"/>
      <c r="S816" s="16">
        <v>0.16714462075431435</v>
      </c>
    </row>
    <row r="817" spans="4:19" x14ac:dyDescent="0.25">
      <c r="D817" s="38">
        <v>3.1894349358334573E-3</v>
      </c>
      <c r="E817" s="4"/>
      <c r="F817" s="4"/>
      <c r="G817" s="4"/>
      <c r="H817" s="4"/>
      <c r="I817" s="4"/>
      <c r="J817" s="4"/>
      <c r="K817" s="4"/>
      <c r="L817" s="4"/>
      <c r="M817" s="7"/>
      <c r="N817" s="7"/>
      <c r="O817" s="4"/>
      <c r="P817" s="4"/>
      <c r="Q817" s="4"/>
      <c r="R817" s="4"/>
      <c r="S817" s="16">
        <v>0.1073623848225016</v>
      </c>
    </row>
    <row r="818" spans="4:19" x14ac:dyDescent="0.25">
      <c r="D818" s="38">
        <v>2.2305407879583683E-2</v>
      </c>
      <c r="E818" s="4"/>
      <c r="F818" s="4"/>
      <c r="G818" s="4"/>
      <c r="H818" s="4"/>
      <c r="I818" s="4"/>
      <c r="J818" s="4"/>
      <c r="K818" s="4"/>
      <c r="L818" s="4"/>
      <c r="M818" s="7"/>
      <c r="N818" s="7"/>
      <c r="O818" s="4"/>
      <c r="P818" s="4"/>
      <c r="Q818" s="4"/>
      <c r="R818" s="4"/>
      <c r="S818" s="16">
        <v>0.87172202680480038</v>
      </c>
    </row>
    <row r="819" spans="4:19" x14ac:dyDescent="0.25">
      <c r="D819" s="38">
        <v>0.98923922520238727</v>
      </c>
      <c r="E819" s="4"/>
      <c r="F819" s="4"/>
      <c r="G819" s="4"/>
      <c r="H819" s="4"/>
      <c r="I819" s="4"/>
      <c r="J819" s="4"/>
      <c r="K819" s="4"/>
      <c r="L819" s="4"/>
      <c r="M819" s="7"/>
      <c r="N819" s="7"/>
      <c r="O819" s="4"/>
      <c r="P819" s="4"/>
      <c r="Q819" s="4"/>
      <c r="R819" s="4"/>
      <c r="S819" s="16">
        <v>0.53697048410075809</v>
      </c>
    </row>
    <row r="820" spans="4:19" x14ac:dyDescent="0.25">
      <c r="D820" s="38">
        <v>0.27301300718342425</v>
      </c>
      <c r="E820" s="4"/>
      <c r="F820" s="4"/>
      <c r="G820" s="4"/>
      <c r="H820" s="4"/>
      <c r="I820" s="4"/>
      <c r="J820" s="4"/>
      <c r="K820" s="4"/>
      <c r="L820" s="4"/>
      <c r="M820" s="7"/>
      <c r="N820" s="7"/>
      <c r="O820" s="4"/>
      <c r="P820" s="4"/>
      <c r="Q820" s="4"/>
      <c r="R820" s="4"/>
      <c r="S820" s="16">
        <v>0.34454034298639424</v>
      </c>
    </row>
    <row r="821" spans="4:19" x14ac:dyDescent="0.25">
      <c r="D821" s="38">
        <v>2.2854768679152149E-2</v>
      </c>
      <c r="E821" s="4"/>
      <c r="F821" s="4"/>
      <c r="G821" s="4"/>
      <c r="H821" s="4"/>
      <c r="I821" s="4"/>
      <c r="J821" s="4"/>
      <c r="K821" s="4"/>
      <c r="L821" s="4"/>
      <c r="M821" s="7"/>
      <c r="N821" s="7"/>
      <c r="O821" s="4"/>
      <c r="P821" s="4"/>
      <c r="Q821" s="4"/>
      <c r="R821" s="4"/>
      <c r="S821" s="16">
        <v>3.5576885391059077E-2</v>
      </c>
    </row>
    <row r="822" spans="4:19" x14ac:dyDescent="0.25">
      <c r="D822" s="38">
        <v>0.20877039653992069</v>
      </c>
      <c r="E822" s="4"/>
      <c r="F822" s="4"/>
      <c r="G822" s="4"/>
      <c r="H822" s="4"/>
      <c r="I822" s="4"/>
      <c r="J822" s="4"/>
      <c r="K822" s="4"/>
      <c r="L822" s="4"/>
      <c r="M822" s="7"/>
      <c r="N822" s="7"/>
      <c r="O822" s="4"/>
      <c r="P822" s="4"/>
      <c r="Q822" s="4"/>
      <c r="R822" s="4"/>
      <c r="S822" s="16">
        <v>0.29414430419438808</v>
      </c>
    </row>
    <row r="823" spans="4:19" x14ac:dyDescent="0.25">
      <c r="D823" s="38">
        <v>0.41844278113527089</v>
      </c>
      <c r="E823" s="4"/>
      <c r="F823" s="4"/>
      <c r="G823" s="4"/>
      <c r="H823" s="4"/>
      <c r="I823" s="4"/>
      <c r="J823" s="4"/>
      <c r="K823" s="4"/>
      <c r="L823" s="4"/>
      <c r="M823" s="7"/>
      <c r="N823" s="7"/>
      <c r="O823" s="4"/>
      <c r="P823" s="4"/>
      <c r="Q823" s="4"/>
      <c r="R823" s="4"/>
      <c r="S823" s="16">
        <v>0.49148730394418794</v>
      </c>
    </row>
    <row r="824" spans="4:19" x14ac:dyDescent="0.25">
      <c r="D824" s="38">
        <v>0.96239467235389708</v>
      </c>
      <c r="E824" s="4"/>
      <c r="F824" s="4"/>
      <c r="G824" s="4"/>
      <c r="H824" s="4"/>
      <c r="I824" s="4"/>
      <c r="J824" s="4"/>
      <c r="K824" s="4"/>
      <c r="L824" s="4"/>
      <c r="M824" s="7"/>
      <c r="N824" s="7"/>
      <c r="O824" s="4"/>
      <c r="P824" s="4"/>
      <c r="Q824" s="4"/>
      <c r="R824" s="4"/>
      <c r="S824" s="16">
        <v>0.21609145417929254</v>
      </c>
    </row>
    <row r="825" spans="4:19" x14ac:dyDescent="0.25">
      <c r="D825" s="38">
        <v>0.25969554924150118</v>
      </c>
      <c r="E825" s="4"/>
      <c r="F825" s="4"/>
      <c r="G825" s="4"/>
      <c r="H825" s="4"/>
      <c r="I825" s="4"/>
      <c r="J825" s="4"/>
      <c r="K825" s="4"/>
      <c r="L825" s="4"/>
      <c r="M825" s="7"/>
      <c r="N825" s="7"/>
      <c r="O825" s="4"/>
      <c r="P825" s="4"/>
      <c r="Q825" s="4"/>
      <c r="R825" s="4"/>
      <c r="S825" s="16">
        <v>0.68774465356842018</v>
      </c>
    </row>
    <row r="826" spans="4:19" x14ac:dyDescent="0.25">
      <c r="D826" s="38">
        <v>0.47508055357909351</v>
      </c>
      <c r="E826" s="4"/>
      <c r="F826" s="4"/>
      <c r="G826" s="4"/>
      <c r="H826" s="4"/>
      <c r="I826" s="4"/>
      <c r="J826" s="4"/>
      <c r="K826" s="4"/>
      <c r="L826" s="4"/>
      <c r="M826" s="7"/>
      <c r="N826" s="7"/>
      <c r="O826" s="4"/>
      <c r="P826" s="4"/>
      <c r="Q826" s="4"/>
      <c r="R826" s="4"/>
      <c r="S826" s="16">
        <v>0.12913104826773114</v>
      </c>
    </row>
    <row r="827" spans="4:19" x14ac:dyDescent="0.25">
      <c r="D827" s="38">
        <v>0.66957753178922874</v>
      </c>
      <c r="E827" s="4"/>
      <c r="F827" s="4"/>
      <c r="G827" s="4"/>
      <c r="H827" s="4"/>
      <c r="I827" s="4"/>
      <c r="J827" s="4"/>
      <c r="K827" s="4"/>
      <c r="L827" s="4"/>
      <c r="M827" s="7"/>
      <c r="N827" s="7"/>
      <c r="O827" s="4"/>
      <c r="P827" s="4"/>
      <c r="Q827" s="4"/>
      <c r="R827" s="4"/>
      <c r="S827" s="16">
        <v>0.11622160615257804</v>
      </c>
    </row>
    <row r="828" spans="4:19" x14ac:dyDescent="0.25">
      <c r="D828" s="38">
        <v>0.27699589582026984</v>
      </c>
      <c r="E828" s="4"/>
      <c r="F828" s="4"/>
      <c r="G828" s="4"/>
      <c r="H828" s="4"/>
      <c r="I828" s="4"/>
      <c r="J828" s="4"/>
      <c r="K828" s="4"/>
      <c r="L828" s="4"/>
      <c r="M828" s="7"/>
      <c r="N828" s="7"/>
      <c r="O828" s="4"/>
      <c r="P828" s="4"/>
      <c r="Q828" s="4"/>
      <c r="R828" s="4"/>
      <c r="S828" s="16">
        <v>0.64142477153969435</v>
      </c>
    </row>
    <row r="829" spans="4:19" x14ac:dyDescent="0.25">
      <c r="D829" s="38">
        <v>0.95002240067134325</v>
      </c>
      <c r="E829" s="4"/>
      <c r="F829" s="4"/>
      <c r="G829" s="4"/>
      <c r="H829" s="4"/>
      <c r="I829" s="4"/>
      <c r="J829" s="4"/>
      <c r="K829" s="4"/>
      <c r="L829" s="4"/>
      <c r="M829" s="7"/>
      <c r="N829" s="7"/>
      <c r="O829" s="4"/>
      <c r="P829" s="4"/>
      <c r="Q829" s="4"/>
      <c r="R829" s="4"/>
      <c r="S829" s="16">
        <v>0.99226168751292176</v>
      </c>
    </row>
    <row r="830" spans="4:19" x14ac:dyDescent="0.25">
      <c r="D830" s="38">
        <v>0.1861067032572693</v>
      </c>
      <c r="E830" s="4"/>
      <c r="F830" s="4"/>
      <c r="G830" s="4"/>
      <c r="H830" s="4"/>
      <c r="I830" s="4"/>
      <c r="J830" s="4"/>
      <c r="K830" s="4"/>
      <c r="L830" s="4"/>
      <c r="M830" s="7"/>
      <c r="N830" s="7"/>
      <c r="O830" s="4"/>
      <c r="P830" s="4"/>
      <c r="Q830" s="4"/>
      <c r="R830" s="4"/>
      <c r="S830" s="16">
        <v>0.98610638882400592</v>
      </c>
    </row>
    <row r="831" spans="4:19" x14ac:dyDescent="0.25">
      <c r="D831" s="38">
        <v>0.38610691169355338</v>
      </c>
      <c r="E831" s="4"/>
      <c r="F831" s="4"/>
      <c r="G831" s="4"/>
      <c r="H831" s="4"/>
      <c r="I831" s="4"/>
      <c r="J831" s="4"/>
      <c r="K831" s="4"/>
      <c r="L831" s="4"/>
      <c r="M831" s="7"/>
      <c r="N831" s="7"/>
      <c r="O831" s="4"/>
      <c r="P831" s="4"/>
      <c r="Q831" s="4"/>
      <c r="R831" s="4"/>
      <c r="S831" s="16">
        <v>0.99375581304050487</v>
      </c>
    </row>
    <row r="832" spans="4:19" x14ac:dyDescent="0.25">
      <c r="D832" s="38">
        <v>0.53406944767328046</v>
      </c>
      <c r="E832" s="4"/>
      <c r="F832" s="4"/>
      <c r="G832" s="4"/>
      <c r="H832" s="4"/>
      <c r="I832" s="4"/>
      <c r="J832" s="4"/>
      <c r="K832" s="4"/>
      <c r="L832" s="4"/>
      <c r="M832" s="7"/>
      <c r="N832" s="7"/>
      <c r="O832" s="4"/>
      <c r="P832" s="4"/>
      <c r="Q832" s="4"/>
      <c r="R832" s="4"/>
      <c r="S832" s="16">
        <v>0.7037180716327236</v>
      </c>
    </row>
    <row r="833" spans="4:19" x14ac:dyDescent="0.25">
      <c r="D833" s="38">
        <v>6.3124614143207469E-2</v>
      </c>
      <c r="E833" s="4"/>
      <c r="F833" s="4"/>
      <c r="G833" s="4"/>
      <c r="H833" s="4"/>
      <c r="I833" s="4"/>
      <c r="J833" s="4"/>
      <c r="K833" s="4"/>
      <c r="L833" s="4"/>
      <c r="M833" s="7"/>
      <c r="N833" s="7"/>
      <c r="O833" s="4"/>
      <c r="P833" s="4"/>
      <c r="Q833" s="4"/>
      <c r="R833" s="4"/>
      <c r="S833" s="16">
        <v>0.23414902079106781</v>
      </c>
    </row>
    <row r="834" spans="4:19" x14ac:dyDescent="0.25">
      <c r="D834" s="38">
        <v>0.8810811491869327</v>
      </c>
      <c r="E834" s="4"/>
      <c r="F834" s="4"/>
      <c r="G834" s="4"/>
      <c r="H834" s="4"/>
      <c r="I834" s="4"/>
      <c r="J834" s="4"/>
      <c r="K834" s="4"/>
      <c r="L834" s="4"/>
      <c r="M834" s="7"/>
      <c r="N834" s="7"/>
      <c r="O834" s="4"/>
      <c r="P834" s="4"/>
      <c r="Q834" s="4"/>
      <c r="R834" s="4"/>
      <c r="S834" s="16">
        <v>0.22182008428391231</v>
      </c>
    </row>
    <row r="835" spans="4:19" x14ac:dyDescent="0.25">
      <c r="D835" s="38">
        <v>0.85889089372255867</v>
      </c>
      <c r="E835" s="4"/>
      <c r="F835" s="4"/>
      <c r="G835" s="4"/>
      <c r="H835" s="4"/>
      <c r="I835" s="4"/>
      <c r="J835" s="4"/>
      <c r="K835" s="4"/>
      <c r="L835" s="4"/>
      <c r="M835" s="7"/>
      <c r="N835" s="7"/>
      <c r="O835" s="4"/>
      <c r="P835" s="4"/>
      <c r="Q835" s="4"/>
      <c r="R835" s="4"/>
      <c r="S835" s="16">
        <v>0.83287046252663455</v>
      </c>
    </row>
    <row r="836" spans="4:19" x14ac:dyDescent="0.25">
      <c r="D836" s="38">
        <v>0.84561764503935999</v>
      </c>
      <c r="E836" s="4"/>
      <c r="F836" s="4"/>
      <c r="G836" s="4"/>
      <c r="H836" s="4"/>
      <c r="I836" s="4"/>
      <c r="J836" s="4"/>
      <c r="K836" s="4"/>
      <c r="L836" s="4"/>
      <c r="M836" s="7"/>
      <c r="N836" s="7"/>
      <c r="O836" s="4"/>
      <c r="P836" s="4"/>
      <c r="Q836" s="4"/>
      <c r="R836" s="4"/>
      <c r="S836" s="16">
        <v>0.8952395747967381</v>
      </c>
    </row>
    <row r="837" spans="4:19" x14ac:dyDescent="0.25">
      <c r="D837" s="38">
        <v>0.6124976278948685</v>
      </c>
      <c r="E837" s="4"/>
      <c r="F837" s="4"/>
      <c r="G837" s="4"/>
      <c r="H837" s="4"/>
      <c r="I837" s="4"/>
      <c r="J837" s="4"/>
      <c r="K837" s="4"/>
      <c r="L837" s="4"/>
      <c r="M837" s="7"/>
      <c r="N837" s="7"/>
      <c r="O837" s="4"/>
      <c r="P837" s="4"/>
      <c r="Q837" s="4"/>
      <c r="R837" s="4"/>
      <c r="S837" s="16">
        <v>0.76601763592988759</v>
      </c>
    </row>
    <row r="838" spans="4:19" x14ac:dyDescent="0.25">
      <c r="D838" s="38">
        <v>3.0671638435900372E-2</v>
      </c>
      <c r="E838" s="4"/>
      <c r="F838" s="4"/>
      <c r="G838" s="4"/>
      <c r="H838" s="4"/>
      <c r="I838" s="4"/>
      <c r="J838" s="4"/>
      <c r="K838" s="4"/>
      <c r="L838" s="4"/>
      <c r="M838" s="7"/>
      <c r="N838" s="7"/>
      <c r="O838" s="4"/>
      <c r="P838" s="4"/>
      <c r="Q838" s="4"/>
      <c r="R838" s="4"/>
      <c r="S838" s="16">
        <v>0.1652309289235242</v>
      </c>
    </row>
    <row r="839" spans="4:19" x14ac:dyDescent="0.25">
      <c r="D839" s="38">
        <v>0.89772587934961934</v>
      </c>
      <c r="E839" s="4"/>
      <c r="F839" s="4"/>
      <c r="G839" s="4"/>
      <c r="H839" s="4"/>
      <c r="I839" s="4"/>
      <c r="J839" s="4"/>
      <c r="K839" s="4"/>
      <c r="L839" s="4"/>
      <c r="M839" s="7"/>
      <c r="N839" s="7"/>
      <c r="O839" s="4"/>
      <c r="P839" s="4"/>
      <c r="Q839" s="4"/>
      <c r="R839" s="4"/>
      <c r="S839" s="16">
        <v>0.90980766497638577</v>
      </c>
    </row>
    <row r="840" spans="4:19" x14ac:dyDescent="0.25">
      <c r="D840" s="38">
        <v>0.80725100964411645</v>
      </c>
      <c r="E840" s="4"/>
      <c r="F840" s="4"/>
      <c r="G840" s="4"/>
      <c r="H840" s="4"/>
      <c r="I840" s="4"/>
      <c r="J840" s="4"/>
      <c r="K840" s="4"/>
      <c r="L840" s="4"/>
      <c r="M840" s="7"/>
      <c r="N840" s="7"/>
      <c r="O840" s="4"/>
      <c r="P840" s="4"/>
      <c r="Q840" s="4"/>
      <c r="R840" s="4"/>
      <c r="S840" s="16">
        <v>0.56914759874929388</v>
      </c>
    </row>
    <row r="841" spans="4:19" x14ac:dyDescent="0.25">
      <c r="D841" s="38">
        <v>6.8454361332639602E-2</v>
      </c>
      <c r="E841" s="4"/>
      <c r="F841" s="4"/>
      <c r="G841" s="4"/>
      <c r="H841" s="4"/>
      <c r="I841" s="4"/>
      <c r="J841" s="4"/>
      <c r="K841" s="4"/>
      <c r="L841" s="4"/>
      <c r="M841" s="7"/>
      <c r="N841" s="7"/>
      <c r="O841" s="4"/>
      <c r="P841" s="4"/>
      <c r="Q841" s="4"/>
      <c r="R841" s="4"/>
      <c r="S841" s="16">
        <v>0.73895540815506677</v>
      </c>
    </row>
    <row r="842" spans="4:19" x14ac:dyDescent="0.25">
      <c r="D842" s="38">
        <v>0.75123305919553263</v>
      </c>
      <c r="E842" s="4"/>
      <c r="F842" s="4"/>
      <c r="G842" s="4"/>
      <c r="H842" s="4"/>
      <c r="I842" s="4"/>
      <c r="J842" s="4"/>
      <c r="K842" s="4"/>
      <c r="L842" s="4"/>
      <c r="M842" s="7"/>
      <c r="N842" s="7"/>
      <c r="O842" s="4"/>
      <c r="P842" s="4"/>
      <c r="Q842" s="4"/>
      <c r="R842" s="4"/>
      <c r="S842" s="16">
        <v>0.51708977024824476</v>
      </c>
    </row>
    <row r="843" spans="4:19" x14ac:dyDescent="0.25">
      <c r="D843" s="38">
        <v>0.54219081304574934</v>
      </c>
      <c r="E843" s="4"/>
      <c r="F843" s="4"/>
      <c r="G843" s="4"/>
      <c r="H843" s="4"/>
      <c r="I843" s="4"/>
      <c r="J843" s="4"/>
      <c r="K843" s="4"/>
      <c r="L843" s="4"/>
      <c r="M843" s="7"/>
      <c r="N843" s="7"/>
      <c r="O843" s="4"/>
      <c r="P843" s="4"/>
      <c r="Q843" s="4"/>
      <c r="R843" s="4"/>
      <c r="S843" s="16">
        <v>0.33069697322727964</v>
      </c>
    </row>
    <row r="844" spans="4:19" x14ac:dyDescent="0.25">
      <c r="D844" s="38">
        <v>0.27306400745456649</v>
      </c>
      <c r="E844" s="4"/>
      <c r="F844" s="4"/>
      <c r="G844" s="4"/>
      <c r="H844" s="4"/>
      <c r="I844" s="4"/>
      <c r="J844" s="4"/>
      <c r="K844" s="4"/>
      <c r="L844" s="4"/>
      <c r="M844" s="7"/>
      <c r="N844" s="7"/>
      <c r="O844" s="4"/>
      <c r="P844" s="4"/>
      <c r="Q844" s="4"/>
      <c r="R844" s="4"/>
      <c r="S844" s="16">
        <v>0.17871026444411919</v>
      </c>
    </row>
    <row r="845" spans="4:19" x14ac:dyDescent="0.25">
      <c r="D845" s="38">
        <v>0.25525971806229331</v>
      </c>
      <c r="E845" s="4"/>
      <c r="F845" s="4"/>
      <c r="G845" s="4"/>
      <c r="H845" s="4"/>
      <c r="I845" s="4"/>
      <c r="J845" s="4"/>
      <c r="K845" s="4"/>
      <c r="L845" s="4"/>
      <c r="M845" s="7"/>
      <c r="N845" s="7"/>
      <c r="O845" s="4"/>
      <c r="P845" s="4"/>
      <c r="Q845" s="4"/>
      <c r="R845" s="4"/>
      <c r="S845" s="16">
        <v>0.9132334765913428</v>
      </c>
    </row>
    <row r="846" spans="4:19" x14ac:dyDescent="0.25">
      <c r="D846" s="38">
        <v>4.8568752577542007E-2</v>
      </c>
      <c r="E846" s="4"/>
      <c r="F846" s="4"/>
      <c r="G846" s="4"/>
      <c r="H846" s="4"/>
      <c r="I846" s="4"/>
      <c r="J846" s="4"/>
      <c r="K846" s="4"/>
      <c r="L846" s="4"/>
      <c r="M846" s="7"/>
      <c r="N846" s="7"/>
      <c r="O846" s="4"/>
      <c r="P846" s="4"/>
      <c r="Q846" s="4"/>
      <c r="R846" s="4"/>
      <c r="S846" s="16">
        <v>0.52094407450350455</v>
      </c>
    </row>
    <row r="847" spans="4:19" x14ac:dyDescent="0.25">
      <c r="D847" s="38">
        <v>0.54422742699362059</v>
      </c>
      <c r="E847" s="4"/>
      <c r="F847" s="4"/>
      <c r="G847" s="4"/>
      <c r="H847" s="4"/>
      <c r="I847" s="4"/>
      <c r="J847" s="4"/>
      <c r="K847" s="4"/>
      <c r="L847" s="4"/>
      <c r="M847" s="7"/>
      <c r="N847" s="7"/>
      <c r="O847" s="4"/>
      <c r="P847" s="4"/>
      <c r="Q847" s="4"/>
      <c r="R847" s="4"/>
      <c r="S847" s="16">
        <v>0.96762259626978175</v>
      </c>
    </row>
    <row r="848" spans="4:19" x14ac:dyDescent="0.25">
      <c r="D848" s="38">
        <v>0.99693461851368026</v>
      </c>
      <c r="E848" s="4"/>
      <c r="F848" s="4"/>
      <c r="G848" s="4"/>
      <c r="H848" s="4"/>
      <c r="I848" s="4"/>
      <c r="J848" s="4"/>
      <c r="K848" s="4"/>
      <c r="L848" s="4"/>
      <c r="M848" s="7"/>
      <c r="N848" s="7"/>
      <c r="O848" s="4"/>
      <c r="P848" s="4"/>
      <c r="Q848" s="4"/>
      <c r="R848" s="4"/>
      <c r="S848" s="16">
        <v>0.25005117177872005</v>
      </c>
    </row>
    <row r="849" spans="4:19" x14ac:dyDescent="0.25">
      <c r="D849" s="38">
        <v>0.44016251782205673</v>
      </c>
      <c r="E849" s="4"/>
      <c r="F849" s="4"/>
      <c r="G849" s="4"/>
      <c r="H849" s="4"/>
      <c r="I849" s="4"/>
      <c r="J849" s="4"/>
      <c r="K849" s="4"/>
      <c r="L849" s="4"/>
      <c r="M849" s="7"/>
      <c r="N849" s="7"/>
      <c r="O849" s="4"/>
      <c r="P849" s="4"/>
      <c r="Q849" s="4"/>
      <c r="R849" s="4"/>
      <c r="S849" s="16">
        <v>0.34455834278318431</v>
      </c>
    </row>
    <row r="850" spans="4:19" x14ac:dyDescent="0.25">
      <c r="D850" s="38">
        <v>0.81535424328484485</v>
      </c>
      <c r="E850" s="4"/>
      <c r="F850" s="4"/>
      <c r="G850" s="4"/>
      <c r="H850" s="4"/>
      <c r="I850" s="4"/>
      <c r="J850" s="4"/>
      <c r="K850" s="4"/>
      <c r="L850" s="4"/>
      <c r="M850" s="7"/>
      <c r="N850" s="7"/>
      <c r="O850" s="4"/>
      <c r="P850" s="4"/>
      <c r="Q850" s="4"/>
      <c r="R850" s="4"/>
      <c r="S850" s="16">
        <v>0.85137595977473846</v>
      </c>
    </row>
    <row r="851" spans="4:19" x14ac:dyDescent="0.25">
      <c r="D851" s="38">
        <v>0.32156005357188322</v>
      </c>
      <c r="E851" s="4"/>
      <c r="F851" s="4"/>
      <c r="G851" s="4"/>
      <c r="H851" s="4"/>
      <c r="I851" s="4"/>
      <c r="J851" s="4"/>
      <c r="K851" s="4"/>
      <c r="L851" s="4"/>
      <c r="M851" s="7"/>
      <c r="N851" s="7"/>
      <c r="O851" s="4"/>
      <c r="P851" s="4"/>
      <c r="Q851" s="4"/>
      <c r="R851" s="4"/>
      <c r="S851" s="16">
        <v>0.31499264892842771</v>
      </c>
    </row>
    <row r="852" spans="4:19" x14ac:dyDescent="0.25">
      <c r="D852" s="38">
        <v>0.61466991671247051</v>
      </c>
      <c r="E852" s="4"/>
      <c r="F852" s="4"/>
      <c r="G852" s="4"/>
      <c r="H852" s="4"/>
      <c r="I852" s="4"/>
      <c r="J852" s="4"/>
      <c r="K852" s="4"/>
      <c r="L852" s="4"/>
      <c r="M852" s="7"/>
      <c r="N852" s="7"/>
      <c r="O852" s="4"/>
      <c r="P852" s="4"/>
      <c r="Q852" s="4"/>
      <c r="R852" s="4"/>
      <c r="S852" s="16">
        <v>0.15038269752568501</v>
      </c>
    </row>
    <row r="853" spans="4:19" x14ac:dyDescent="0.25">
      <c r="D853" s="38">
        <v>0.66134381769315498</v>
      </c>
      <c r="E853" s="4"/>
      <c r="F853" s="4"/>
      <c r="G853" s="4"/>
      <c r="H853" s="4"/>
      <c r="I853" s="4"/>
      <c r="J853" s="4"/>
      <c r="K853" s="4"/>
      <c r="L853" s="4"/>
      <c r="M853" s="7"/>
      <c r="N853" s="7"/>
      <c r="O853" s="4"/>
      <c r="P853" s="4"/>
      <c r="Q853" s="4"/>
      <c r="R853" s="4"/>
      <c r="S853" s="16">
        <v>0.18378225369139367</v>
      </c>
    </row>
    <row r="854" spans="4:19" x14ac:dyDescent="0.25">
      <c r="D854" s="38">
        <v>0.62629059786866925</v>
      </c>
      <c r="E854" s="4"/>
      <c r="F854" s="4"/>
      <c r="G854" s="4"/>
      <c r="H854" s="4"/>
      <c r="I854" s="4"/>
      <c r="J854" s="4"/>
      <c r="K854" s="4"/>
      <c r="L854" s="4"/>
      <c r="M854" s="7"/>
      <c r="N854" s="7"/>
      <c r="O854" s="4"/>
      <c r="P854" s="4"/>
      <c r="Q854" s="4"/>
      <c r="R854" s="4"/>
      <c r="S854" s="16">
        <v>0.59474805276616405</v>
      </c>
    </row>
    <row r="855" spans="4:19" x14ac:dyDescent="0.25">
      <c r="D855" s="38">
        <v>0.51008999408160383</v>
      </c>
      <c r="E855" s="4"/>
      <c r="F855" s="4"/>
      <c r="G855" s="4"/>
      <c r="H855" s="4"/>
      <c r="I855" s="4"/>
      <c r="J855" s="4"/>
      <c r="K855" s="4"/>
      <c r="L855" s="4"/>
      <c r="M855" s="7"/>
      <c r="N855" s="7"/>
      <c r="O855" s="4"/>
      <c r="P855" s="4"/>
      <c r="Q855" s="4"/>
      <c r="R855" s="4"/>
      <c r="S855" s="16">
        <v>0.62249909377772461</v>
      </c>
    </row>
    <row r="856" spans="4:19" x14ac:dyDescent="0.25">
      <c r="D856" s="38">
        <v>0.64799505455803441</v>
      </c>
      <c r="E856" s="4"/>
      <c r="F856" s="4"/>
      <c r="G856" s="4"/>
      <c r="H856" s="4"/>
      <c r="I856" s="4"/>
      <c r="J856" s="4"/>
      <c r="K856" s="4"/>
      <c r="L856" s="4"/>
      <c r="M856" s="7"/>
      <c r="N856" s="7"/>
      <c r="O856" s="4"/>
      <c r="P856" s="4"/>
      <c r="Q856" s="4"/>
      <c r="R856" s="4"/>
      <c r="S856" s="16">
        <v>6.9522457544498595E-3</v>
      </c>
    </row>
    <row r="857" spans="4:19" x14ac:dyDescent="0.25">
      <c r="D857" s="38">
        <v>0.16500023967442279</v>
      </c>
      <c r="E857" s="4"/>
      <c r="F857" s="4"/>
      <c r="G857" s="4"/>
      <c r="H857" s="4"/>
      <c r="I857" s="4"/>
      <c r="J857" s="4"/>
      <c r="K857" s="4"/>
      <c r="L857" s="4"/>
      <c r="M857" s="7"/>
      <c r="N857" s="7"/>
      <c r="O857" s="4"/>
      <c r="P857" s="4"/>
      <c r="Q857" s="4"/>
      <c r="R857" s="4"/>
      <c r="S857" s="16">
        <v>0.79098890093441787</v>
      </c>
    </row>
    <row r="858" spans="4:19" x14ac:dyDescent="0.25">
      <c r="D858" s="38">
        <v>0.3186877884855166</v>
      </c>
      <c r="E858" s="4"/>
      <c r="F858" s="4"/>
      <c r="G858" s="4"/>
      <c r="H858" s="4"/>
      <c r="I858" s="4"/>
      <c r="J858" s="4"/>
      <c r="K858" s="4"/>
      <c r="L858" s="4"/>
      <c r="M858" s="7"/>
      <c r="N858" s="7"/>
      <c r="O858" s="4"/>
      <c r="P858" s="4"/>
      <c r="Q858" s="4"/>
      <c r="R858" s="4"/>
      <c r="S858" s="16">
        <v>0.18047518841464416</v>
      </c>
    </row>
    <row r="859" spans="4:19" x14ac:dyDescent="0.25">
      <c r="D859" s="38">
        <v>0.89202808203294115</v>
      </c>
      <c r="E859" s="4"/>
      <c r="F859" s="4"/>
      <c r="G859" s="4"/>
      <c r="H859" s="4"/>
      <c r="I859" s="4"/>
      <c r="J859" s="4"/>
      <c r="K859" s="4"/>
      <c r="L859" s="4"/>
      <c r="M859" s="7"/>
      <c r="N859" s="7"/>
      <c r="O859" s="4"/>
      <c r="P859" s="4"/>
      <c r="Q859" s="4"/>
      <c r="R859" s="4"/>
      <c r="S859" s="16">
        <v>2.0440482496860035E-2</v>
      </c>
    </row>
    <row r="860" spans="4:19" x14ac:dyDescent="0.25">
      <c r="D860" s="38">
        <v>0.69748648050475159</v>
      </c>
      <c r="E860" s="4"/>
      <c r="F860" s="4"/>
      <c r="G860" s="4"/>
      <c r="H860" s="4"/>
      <c r="I860" s="4"/>
      <c r="J860" s="4"/>
      <c r="K860" s="4"/>
      <c r="L860" s="4"/>
      <c r="M860" s="7"/>
      <c r="N860" s="7"/>
      <c r="O860" s="4"/>
      <c r="P860" s="4"/>
      <c r="Q860" s="4"/>
      <c r="R860" s="4"/>
      <c r="S860" s="16">
        <v>0.22833014226834769</v>
      </c>
    </row>
    <row r="861" spans="4:19" x14ac:dyDescent="0.25">
      <c r="D861" s="38">
        <v>2.6016360018532914E-2</v>
      </c>
      <c r="E861" s="4"/>
      <c r="F861" s="4"/>
      <c r="G861" s="4"/>
      <c r="H861" s="4"/>
      <c r="I861" s="4"/>
      <c r="J861" s="4"/>
      <c r="K861" s="4"/>
      <c r="L861" s="4"/>
      <c r="M861" s="7"/>
      <c r="N861" s="7"/>
      <c r="O861" s="4"/>
      <c r="P861" s="4"/>
      <c r="Q861" s="4"/>
      <c r="R861" s="4"/>
      <c r="S861" s="16">
        <v>0.37639389396725409</v>
      </c>
    </row>
    <row r="862" spans="4:19" x14ac:dyDescent="0.25">
      <c r="D862" s="38">
        <v>0.15805834585422873</v>
      </c>
      <c r="E862" s="4"/>
      <c r="F862" s="4"/>
      <c r="G862" s="4"/>
      <c r="H862" s="4"/>
      <c r="I862" s="4"/>
      <c r="J862" s="4"/>
      <c r="K862" s="4"/>
      <c r="L862" s="4"/>
      <c r="M862" s="7"/>
      <c r="N862" s="7"/>
      <c r="O862" s="4"/>
      <c r="P862" s="4"/>
      <c r="Q862" s="4"/>
      <c r="R862" s="4"/>
      <c r="S862" s="16">
        <v>4.482244256424528E-2</v>
      </c>
    </row>
    <row r="863" spans="4:19" x14ac:dyDescent="0.25">
      <c r="D863" s="38">
        <v>0.76116422335615874</v>
      </c>
      <c r="E863" s="4"/>
      <c r="F863" s="4"/>
      <c r="G863" s="4"/>
      <c r="H863" s="4"/>
      <c r="I863" s="4"/>
      <c r="J863" s="4"/>
      <c r="K863" s="4"/>
      <c r="L863" s="4"/>
      <c r="M863" s="7"/>
      <c r="N863" s="7"/>
      <c r="O863" s="4"/>
      <c r="P863" s="4"/>
      <c r="Q863" s="4"/>
      <c r="R863" s="4"/>
      <c r="S863" s="16">
        <v>0.97581660529072478</v>
      </c>
    </row>
    <row r="864" spans="4:19" x14ac:dyDescent="0.25">
      <c r="D864" s="38">
        <v>0.164168719979782</v>
      </c>
      <c r="E864" s="4"/>
      <c r="F864" s="4"/>
      <c r="G864" s="4"/>
      <c r="H864" s="4"/>
      <c r="I864" s="4"/>
      <c r="J864" s="4"/>
      <c r="K864" s="4"/>
      <c r="L864" s="4"/>
      <c r="M864" s="7"/>
      <c r="N864" s="7"/>
      <c r="O864" s="4"/>
      <c r="P864" s="4"/>
      <c r="Q864" s="4"/>
      <c r="R864" s="4"/>
      <c r="S864" s="16">
        <v>4.7340306592357884E-2</v>
      </c>
    </row>
    <row r="865" spans="4:19" x14ac:dyDescent="0.25">
      <c r="D865" s="38">
        <v>0.78566764760430119</v>
      </c>
      <c r="E865" s="4"/>
      <c r="F865" s="4"/>
      <c r="G865" s="4"/>
      <c r="H865" s="4"/>
      <c r="I865" s="4"/>
      <c r="J865" s="4"/>
      <c r="K865" s="4"/>
      <c r="L865" s="4"/>
      <c r="M865" s="7"/>
      <c r="N865" s="7"/>
      <c r="O865" s="4"/>
      <c r="P865" s="4"/>
      <c r="Q865" s="4"/>
      <c r="R865" s="4"/>
      <c r="S865" s="16">
        <v>0.10451425655258995</v>
      </c>
    </row>
    <row r="866" spans="4:19" x14ac:dyDescent="0.25">
      <c r="D866" s="38">
        <v>0.68663050218289001</v>
      </c>
      <c r="E866" s="4"/>
      <c r="F866" s="4"/>
      <c r="G866" s="4"/>
      <c r="H866" s="4"/>
      <c r="I866" s="4"/>
      <c r="J866" s="4"/>
      <c r="K866" s="4"/>
      <c r="L866" s="4"/>
      <c r="M866" s="7"/>
      <c r="N866" s="7"/>
      <c r="O866" s="4"/>
      <c r="P866" s="4"/>
      <c r="Q866" s="4"/>
      <c r="R866" s="4"/>
      <c r="S866" s="16">
        <v>0.51850670520910869</v>
      </c>
    </row>
    <row r="867" spans="4:19" x14ac:dyDescent="0.25">
      <c r="D867" s="38">
        <v>0.97867259361978087</v>
      </c>
      <c r="E867" s="4"/>
      <c r="F867" s="4"/>
      <c r="G867" s="4"/>
      <c r="H867" s="4"/>
      <c r="I867" s="4"/>
      <c r="J867" s="4"/>
      <c r="K867" s="4"/>
      <c r="L867" s="4"/>
      <c r="M867" s="7"/>
      <c r="N867" s="7"/>
      <c r="O867" s="4"/>
      <c r="P867" s="4"/>
      <c r="Q867" s="4"/>
      <c r="R867" s="4"/>
      <c r="S867" s="16">
        <v>1.6991185946239717E-2</v>
      </c>
    </row>
    <row r="868" spans="4:19" x14ac:dyDescent="0.25">
      <c r="D868" s="38">
        <v>0.58398594771246048</v>
      </c>
      <c r="E868" s="4"/>
      <c r="F868" s="4"/>
      <c r="G868" s="4"/>
      <c r="H868" s="4"/>
      <c r="I868" s="4"/>
      <c r="J868" s="4"/>
      <c r="K868" s="4"/>
      <c r="L868" s="4"/>
      <c r="M868" s="7"/>
      <c r="N868" s="7"/>
      <c r="O868" s="4"/>
      <c r="P868" s="4"/>
      <c r="Q868" s="4"/>
      <c r="R868" s="4"/>
      <c r="S868" s="16">
        <v>0.51806987416579131</v>
      </c>
    </row>
    <row r="869" spans="4:19" x14ac:dyDescent="0.25">
      <c r="D869" s="38">
        <v>0.43388090983069605</v>
      </c>
      <c r="E869" s="4"/>
      <c r="F869" s="4"/>
      <c r="G869" s="4"/>
      <c r="H869" s="4"/>
      <c r="I869" s="4"/>
      <c r="J869" s="4"/>
      <c r="K869" s="4"/>
      <c r="L869" s="4"/>
      <c r="M869" s="7"/>
      <c r="N869" s="7"/>
      <c r="O869" s="4"/>
      <c r="P869" s="4"/>
      <c r="Q869" s="4"/>
      <c r="R869" s="4"/>
      <c r="S869" s="16">
        <v>0.58172245469532335</v>
      </c>
    </row>
    <row r="870" spans="4:19" x14ac:dyDescent="0.25">
      <c r="D870" s="38">
        <v>0.10673997505179722</v>
      </c>
      <c r="E870" s="4"/>
      <c r="F870" s="4"/>
      <c r="G870" s="4"/>
      <c r="H870" s="4"/>
      <c r="I870" s="4"/>
      <c r="J870" s="4"/>
      <c r="K870" s="4"/>
      <c r="L870" s="4"/>
      <c r="M870" s="7"/>
      <c r="N870" s="7"/>
      <c r="O870" s="4"/>
      <c r="P870" s="4"/>
      <c r="Q870" s="4"/>
      <c r="R870" s="4"/>
      <c r="S870" s="16">
        <v>0.41465133597617676</v>
      </c>
    </row>
    <row r="871" spans="4:19" x14ac:dyDescent="0.25">
      <c r="D871" s="38">
        <v>0.53332039817343946</v>
      </c>
      <c r="E871" s="4"/>
      <c r="F871" s="4"/>
      <c r="G871" s="4"/>
      <c r="H871" s="4"/>
      <c r="I871" s="4"/>
      <c r="J871" s="4"/>
      <c r="K871" s="4"/>
      <c r="L871" s="4"/>
      <c r="M871" s="7"/>
      <c r="N871" s="7"/>
      <c r="O871" s="4"/>
      <c r="P871" s="4"/>
      <c r="Q871" s="4"/>
      <c r="R871" s="4"/>
      <c r="S871" s="16">
        <v>0.94169077984144434</v>
      </c>
    </row>
    <row r="872" spans="4:19" x14ac:dyDescent="0.25">
      <c r="D872" s="38">
        <v>3.5403950148776175E-2</v>
      </c>
      <c r="E872" s="4"/>
      <c r="F872" s="4"/>
      <c r="G872" s="4"/>
      <c r="H872" s="4"/>
      <c r="I872" s="4"/>
      <c r="J872" s="4"/>
      <c r="K872" s="4"/>
      <c r="L872" s="4"/>
      <c r="M872" s="7"/>
      <c r="N872" s="7"/>
      <c r="O872" s="4"/>
      <c r="P872" s="4"/>
      <c r="Q872" s="4"/>
      <c r="R872" s="4"/>
      <c r="S872" s="16">
        <v>0.19337075202293086</v>
      </c>
    </row>
    <row r="873" spans="4:19" x14ac:dyDescent="0.25">
      <c r="D873" s="38">
        <v>4.6852167669049982E-2</v>
      </c>
      <c r="E873" s="4"/>
      <c r="F873" s="4"/>
      <c r="G873" s="4"/>
      <c r="H873" s="4"/>
      <c r="I873" s="4"/>
      <c r="J873" s="4"/>
      <c r="K873" s="4"/>
      <c r="L873" s="4"/>
      <c r="M873" s="7"/>
      <c r="N873" s="7"/>
      <c r="O873" s="4"/>
      <c r="P873" s="4"/>
      <c r="Q873" s="4"/>
      <c r="R873" s="4"/>
      <c r="S873" s="16">
        <v>0.53320319466106558</v>
      </c>
    </row>
    <row r="874" spans="4:19" x14ac:dyDescent="0.25">
      <c r="D874" s="38">
        <v>0.87536733420461754</v>
      </c>
      <c r="E874" s="4"/>
      <c r="F874" s="4"/>
      <c r="G874" s="4"/>
      <c r="H874" s="4"/>
      <c r="I874" s="4"/>
      <c r="J874" s="4"/>
      <c r="K874" s="4"/>
      <c r="L874" s="4"/>
      <c r="M874" s="7"/>
      <c r="N874" s="7"/>
      <c r="O874" s="4"/>
      <c r="P874" s="4"/>
      <c r="Q874" s="4"/>
      <c r="R874" s="4"/>
      <c r="S874" s="16">
        <v>0.47689723994444733</v>
      </c>
    </row>
    <row r="875" spans="4:19" x14ac:dyDescent="0.25">
      <c r="D875" s="38">
        <v>0.20090443768853461</v>
      </c>
      <c r="E875" s="4"/>
      <c r="F875" s="4"/>
      <c r="G875" s="4"/>
      <c r="H875" s="4"/>
      <c r="I875" s="4"/>
      <c r="J875" s="4"/>
      <c r="K875" s="4"/>
      <c r="L875" s="4"/>
      <c r="M875" s="7"/>
      <c r="N875" s="7"/>
      <c r="O875" s="4"/>
      <c r="P875" s="4"/>
      <c r="Q875" s="4"/>
      <c r="R875" s="4"/>
      <c r="S875" s="16">
        <v>0.58926906707549387</v>
      </c>
    </row>
    <row r="876" spans="4:19" x14ac:dyDescent="0.25">
      <c r="D876" s="38">
        <v>0.87490603364983854</v>
      </c>
      <c r="E876" s="4"/>
      <c r="F876" s="4"/>
      <c r="G876" s="4"/>
      <c r="H876" s="4"/>
      <c r="I876" s="4"/>
      <c r="J876" s="4"/>
      <c r="K876" s="4"/>
      <c r="L876" s="4"/>
      <c r="M876" s="7"/>
      <c r="N876" s="7"/>
      <c r="O876" s="4"/>
      <c r="P876" s="4"/>
      <c r="Q876" s="4"/>
      <c r="R876" s="4"/>
      <c r="S876" s="16">
        <v>0.1327468950419719</v>
      </c>
    </row>
    <row r="877" spans="4:19" x14ac:dyDescent="0.25">
      <c r="D877" s="38">
        <v>0.54036299818456701</v>
      </c>
      <c r="E877" s="4"/>
      <c r="F877" s="4"/>
      <c r="G877" s="4"/>
      <c r="H877" s="4"/>
      <c r="I877" s="4"/>
      <c r="J877" s="4"/>
      <c r="K877" s="4"/>
      <c r="L877" s="4"/>
      <c r="M877" s="7"/>
      <c r="N877" s="7"/>
      <c r="O877" s="4"/>
      <c r="P877" s="4"/>
      <c r="Q877" s="4"/>
      <c r="R877" s="4"/>
      <c r="S877" s="16">
        <v>0.57089095314439209</v>
      </c>
    </row>
    <row r="878" spans="4:19" x14ac:dyDescent="0.25">
      <c r="D878" s="38">
        <v>0.62356391017033574</v>
      </c>
      <c r="E878" s="4"/>
      <c r="F878" s="4"/>
      <c r="G878" s="4"/>
      <c r="H878" s="4"/>
      <c r="I878" s="4"/>
      <c r="J878" s="4"/>
      <c r="K878" s="4"/>
      <c r="L878" s="4"/>
      <c r="M878" s="7"/>
      <c r="N878" s="7"/>
      <c r="O878" s="4"/>
      <c r="P878" s="4"/>
      <c r="Q878" s="4"/>
      <c r="R878" s="4"/>
      <c r="S878" s="16">
        <v>0.8484946912041359</v>
      </c>
    </row>
    <row r="879" spans="4:19" x14ac:dyDescent="0.25">
      <c r="D879" s="38">
        <v>0.22196842191485056</v>
      </c>
      <c r="E879" s="4"/>
      <c r="F879" s="4"/>
      <c r="G879" s="4"/>
      <c r="H879" s="4"/>
      <c r="I879" s="4"/>
      <c r="J879" s="4"/>
      <c r="K879" s="4"/>
      <c r="L879" s="4"/>
      <c r="M879" s="7"/>
      <c r="N879" s="7"/>
      <c r="O879" s="4"/>
      <c r="P879" s="4"/>
      <c r="Q879" s="4"/>
      <c r="R879" s="4"/>
      <c r="S879" s="16">
        <v>0.97875298816813538</v>
      </c>
    </row>
    <row r="880" spans="4:19" x14ac:dyDescent="0.25">
      <c r="D880" s="38">
        <v>0.21964120885379845</v>
      </c>
      <c r="E880" s="4"/>
      <c r="F880" s="4"/>
      <c r="G880" s="4"/>
      <c r="H880" s="4"/>
      <c r="I880" s="4"/>
      <c r="J880" s="4"/>
      <c r="K880" s="4"/>
      <c r="L880" s="4"/>
      <c r="M880" s="7"/>
      <c r="N880" s="7"/>
      <c r="O880" s="4"/>
      <c r="P880" s="4"/>
      <c r="Q880" s="4"/>
      <c r="R880" s="4"/>
      <c r="S880" s="16">
        <v>0.33789090069627881</v>
      </c>
    </row>
    <row r="881" spans="4:19" x14ac:dyDescent="0.25">
      <c r="D881" s="38">
        <v>0.25994793113218762</v>
      </c>
      <c r="E881" s="4"/>
      <c r="F881" s="4"/>
      <c r="G881" s="4"/>
      <c r="H881" s="4"/>
      <c r="I881" s="4"/>
      <c r="J881" s="4"/>
      <c r="K881" s="4"/>
      <c r="L881" s="4"/>
      <c r="M881" s="7"/>
      <c r="N881" s="7"/>
      <c r="O881" s="4"/>
      <c r="P881" s="4"/>
      <c r="Q881" s="4"/>
      <c r="R881" s="4"/>
      <c r="S881" s="16">
        <v>2.0677574164987167E-2</v>
      </c>
    </row>
    <row r="882" spans="4:19" x14ac:dyDescent="0.25">
      <c r="D882" s="38">
        <v>8.2695347610397985E-2</v>
      </c>
      <c r="E882" s="4"/>
      <c r="F882" s="4"/>
      <c r="G882" s="4"/>
      <c r="H882" s="4"/>
      <c r="I882" s="4"/>
      <c r="J882" s="4"/>
      <c r="K882" s="4"/>
      <c r="L882" s="4"/>
      <c r="M882" s="7"/>
      <c r="N882" s="7"/>
      <c r="O882" s="4"/>
      <c r="P882" s="4"/>
      <c r="Q882" s="4"/>
      <c r="R882" s="4"/>
      <c r="S882" s="16">
        <v>0.13447996723741873</v>
      </c>
    </row>
    <row r="883" spans="4:19" x14ac:dyDescent="0.25">
      <c r="D883" s="38">
        <v>0.54666630281283068</v>
      </c>
      <c r="E883" s="4"/>
      <c r="F883" s="4"/>
      <c r="G883" s="4"/>
      <c r="H883" s="4"/>
      <c r="I883" s="4"/>
      <c r="J883" s="4"/>
      <c r="K883" s="4"/>
      <c r="L883" s="4"/>
      <c r="M883" s="7"/>
      <c r="N883" s="7"/>
      <c r="O883" s="4"/>
      <c r="P883" s="4"/>
      <c r="Q883" s="4"/>
      <c r="R883" s="4"/>
      <c r="S883" s="16">
        <v>0.36923010254491151</v>
      </c>
    </row>
    <row r="884" spans="4:19" x14ac:dyDescent="0.25">
      <c r="D884" s="38">
        <v>0.29738723419153168</v>
      </c>
      <c r="E884" s="4"/>
      <c r="F884" s="4"/>
      <c r="G884" s="4"/>
      <c r="H884" s="4"/>
      <c r="I884" s="4"/>
      <c r="J884" s="4"/>
      <c r="K884" s="4"/>
      <c r="L884" s="4"/>
      <c r="M884" s="7"/>
      <c r="N884" s="7"/>
      <c r="O884" s="4"/>
      <c r="P884" s="4"/>
      <c r="Q884" s="4"/>
      <c r="R884" s="4"/>
      <c r="S884" s="16">
        <v>0.17593611292917455</v>
      </c>
    </row>
    <row r="885" spans="4:19" x14ac:dyDescent="0.25">
      <c r="D885" s="38">
        <v>0.88595687222211139</v>
      </c>
      <c r="E885" s="4"/>
      <c r="F885" s="4"/>
      <c r="G885" s="4"/>
      <c r="H885" s="4"/>
      <c r="I885" s="4"/>
      <c r="J885" s="4"/>
      <c r="K885" s="4"/>
      <c r="L885" s="4"/>
      <c r="M885" s="7"/>
      <c r="N885" s="7"/>
      <c r="O885" s="4"/>
      <c r="P885" s="4"/>
      <c r="Q885" s="4"/>
      <c r="R885" s="4"/>
      <c r="S885" s="16">
        <v>0.70380251117026738</v>
      </c>
    </row>
    <row r="886" spans="4:19" x14ac:dyDescent="0.25">
      <c r="D886" s="38">
        <v>7.0191762912744982E-2</v>
      </c>
      <c r="E886" s="4"/>
      <c r="F886" s="4"/>
      <c r="G886" s="4"/>
      <c r="H886" s="4"/>
      <c r="I886" s="4"/>
      <c r="J886" s="4"/>
      <c r="K886" s="4"/>
      <c r="L886" s="4"/>
      <c r="M886" s="7"/>
      <c r="N886" s="7"/>
      <c r="O886" s="4"/>
      <c r="P886" s="4"/>
      <c r="Q886" s="4"/>
      <c r="R886" s="4"/>
      <c r="S886" s="16">
        <v>2.9526900191103267E-2</v>
      </c>
    </row>
    <row r="887" spans="4:19" x14ac:dyDescent="0.25">
      <c r="D887" s="38">
        <v>0.91175011309592768</v>
      </c>
      <c r="E887" s="4"/>
      <c r="F887" s="4"/>
      <c r="G887" s="4"/>
      <c r="H887" s="4"/>
      <c r="I887" s="4"/>
      <c r="J887" s="4"/>
      <c r="K887" s="4"/>
      <c r="L887" s="4"/>
      <c r="M887" s="7"/>
      <c r="N887" s="7"/>
      <c r="O887" s="4"/>
      <c r="P887" s="4"/>
      <c r="Q887" s="4"/>
      <c r="R887" s="4"/>
      <c r="S887" s="16">
        <v>0.80007274470812129</v>
      </c>
    </row>
    <row r="888" spans="4:19" x14ac:dyDescent="0.25">
      <c r="D888" s="38">
        <v>0.92605079927384171</v>
      </c>
      <c r="E888" s="4"/>
      <c r="F888" s="4"/>
      <c r="G888" s="4"/>
      <c r="H888" s="4"/>
      <c r="I888" s="4"/>
      <c r="J888" s="4"/>
      <c r="K888" s="4"/>
      <c r="L888" s="4"/>
      <c r="M888" s="7"/>
      <c r="N888" s="7"/>
      <c r="O888" s="4"/>
      <c r="P888" s="4"/>
      <c r="Q888" s="4"/>
      <c r="R888" s="4"/>
      <c r="S888" s="16">
        <v>0.86257746524936085</v>
      </c>
    </row>
    <row r="889" spans="4:19" x14ac:dyDescent="0.25">
      <c r="D889" s="38">
        <v>0.37218330393765253</v>
      </c>
      <c r="E889" s="4"/>
      <c r="F889" s="4"/>
      <c r="G889" s="4"/>
      <c r="H889" s="4"/>
      <c r="I889" s="4"/>
      <c r="J889" s="4"/>
      <c r="K889" s="4"/>
      <c r="L889" s="4"/>
      <c r="M889" s="7"/>
      <c r="N889" s="7"/>
      <c r="O889" s="4"/>
      <c r="P889" s="4"/>
      <c r="Q889" s="4"/>
      <c r="R889" s="4"/>
      <c r="S889" s="16">
        <v>0.74286622091803611</v>
      </c>
    </row>
    <row r="890" spans="4:19" x14ac:dyDescent="0.25">
      <c r="D890" s="38">
        <v>0.75036859418378199</v>
      </c>
      <c r="E890" s="4"/>
      <c r="F890" s="4"/>
      <c r="G890" s="4"/>
      <c r="H890" s="4"/>
      <c r="I890" s="4"/>
      <c r="J890" s="4"/>
      <c r="K890" s="4"/>
      <c r="L890" s="4"/>
      <c r="M890" s="7"/>
      <c r="N890" s="7"/>
      <c r="O890" s="4"/>
      <c r="P890" s="4"/>
      <c r="Q890" s="4"/>
      <c r="R890" s="4"/>
      <c r="S890" s="16">
        <v>0.69892974606833436</v>
      </c>
    </row>
    <row r="891" spans="4:19" x14ac:dyDescent="0.25">
      <c r="D891" s="38">
        <v>0.22598180266511858</v>
      </c>
      <c r="E891" s="4"/>
      <c r="F891" s="4"/>
      <c r="G891" s="4"/>
      <c r="H891" s="4"/>
      <c r="I891" s="4"/>
      <c r="J891" s="4"/>
      <c r="K891" s="4"/>
      <c r="L891" s="4"/>
      <c r="M891" s="7"/>
      <c r="N891" s="7"/>
      <c r="O891" s="4"/>
      <c r="P891" s="4"/>
      <c r="Q891" s="4"/>
      <c r="R891" s="4"/>
      <c r="S891" s="16">
        <v>0.53003283868154494</v>
      </c>
    </row>
    <row r="892" spans="4:19" x14ac:dyDescent="0.25">
      <c r="D892" s="38">
        <v>3.9875308312689817E-2</v>
      </c>
      <c r="E892" s="4"/>
      <c r="F892" s="4"/>
      <c r="G892" s="4"/>
      <c r="H892" s="4"/>
      <c r="I892" s="4"/>
      <c r="J892" s="4"/>
      <c r="K892" s="4"/>
      <c r="L892" s="4"/>
      <c r="M892" s="7"/>
      <c r="N892" s="7"/>
      <c r="O892" s="4"/>
      <c r="P892" s="4"/>
      <c r="Q892" s="4"/>
      <c r="R892" s="4"/>
      <c r="S892" s="16">
        <v>0.93033878230953726</v>
      </c>
    </row>
    <row r="893" spans="4:19" x14ac:dyDescent="0.25">
      <c r="D893" s="38">
        <v>0.17541493706149924</v>
      </c>
      <c r="E893" s="4"/>
      <c r="F893" s="4"/>
      <c r="G893" s="4"/>
      <c r="H893" s="4"/>
      <c r="I893" s="4"/>
      <c r="J893" s="4"/>
      <c r="K893" s="4"/>
      <c r="L893" s="4"/>
      <c r="M893" s="7"/>
      <c r="N893" s="7"/>
      <c r="O893" s="4"/>
      <c r="P893" s="4"/>
      <c r="Q893" s="4"/>
      <c r="R893" s="4"/>
      <c r="S893" s="16">
        <v>0.28170475601118605</v>
      </c>
    </row>
    <row r="894" spans="4:19" x14ac:dyDescent="0.25">
      <c r="D894" s="38">
        <v>0.47136651240468053</v>
      </c>
      <c r="E894" s="4"/>
      <c r="F894" s="4"/>
      <c r="G894" s="4"/>
      <c r="H894" s="4"/>
      <c r="I894" s="4"/>
      <c r="J894" s="4"/>
      <c r="K894" s="4"/>
      <c r="L894" s="4"/>
      <c r="M894" s="7"/>
      <c r="N894" s="7"/>
      <c r="O894" s="4"/>
      <c r="P894" s="4"/>
      <c r="Q894" s="4"/>
      <c r="R894" s="4"/>
      <c r="S894" s="16">
        <v>0.77743581985577159</v>
      </c>
    </row>
  </sheetData>
  <mergeCells count="45">
    <mergeCell ref="P5:Q5"/>
    <mergeCell ref="E2:R3"/>
    <mergeCell ref="T18:U18"/>
    <mergeCell ref="T19:U19"/>
    <mergeCell ref="T20:U21"/>
    <mergeCell ref="V20:V21"/>
    <mergeCell ref="T8:T9"/>
    <mergeCell ref="T3:U3"/>
    <mergeCell ref="T4:U5"/>
    <mergeCell ref="V4:V5"/>
    <mergeCell ref="T6:U7"/>
    <mergeCell ref="V6:V7"/>
    <mergeCell ref="O5:O6"/>
    <mergeCell ref="R5:R6"/>
    <mergeCell ref="J5:J6"/>
    <mergeCell ref="K5:K6"/>
    <mergeCell ref="L5:L6"/>
    <mergeCell ref="T22:U22"/>
    <mergeCell ref="U12:U13"/>
    <mergeCell ref="V12:V13"/>
    <mergeCell ref="U14:U15"/>
    <mergeCell ref="V14:V15"/>
    <mergeCell ref="T10:T13"/>
    <mergeCell ref="T14:T17"/>
    <mergeCell ref="U16:U17"/>
    <mergeCell ref="V16:V17"/>
    <mergeCell ref="U10:U11"/>
    <mergeCell ref="V10:V11"/>
    <mergeCell ref="A1:C1"/>
    <mergeCell ref="A9:C9"/>
    <mergeCell ref="A17:C17"/>
    <mergeCell ref="A2:A3"/>
    <mergeCell ref="B2:B3"/>
    <mergeCell ref="C2:C3"/>
    <mergeCell ref="A10:A11"/>
    <mergeCell ref="B10:B11"/>
    <mergeCell ref="C10:C11"/>
    <mergeCell ref="M5:N5"/>
    <mergeCell ref="G5:G6"/>
    <mergeCell ref="H5:I5"/>
    <mergeCell ref="A18:A19"/>
    <mergeCell ref="B18:B19"/>
    <mergeCell ref="C18:C19"/>
    <mergeCell ref="E5:E6"/>
    <mergeCell ref="F5:F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C653-80B1-47CA-A168-31DF867EA470}">
  <sheetPr codeName="Sheet3"/>
  <dimension ref="A1:L22"/>
  <sheetViews>
    <sheetView tabSelected="1" zoomScale="155" zoomScaleNormal="190" workbookViewId="0">
      <selection activeCell="F13" sqref="F13"/>
    </sheetView>
  </sheetViews>
  <sheetFormatPr defaultRowHeight="15" x14ac:dyDescent="0.25"/>
  <sheetData>
    <row r="1" spans="1:12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66</v>
      </c>
      <c r="H1" t="s">
        <v>60</v>
      </c>
      <c r="I1" t="s">
        <v>61</v>
      </c>
      <c r="J1" t="s">
        <v>62</v>
      </c>
      <c r="K1" t="s">
        <v>64</v>
      </c>
      <c r="L1" t="s">
        <v>65</v>
      </c>
    </row>
    <row r="2" spans="1:12" x14ac:dyDescent="0.25">
      <c r="A2">
        <v>1</v>
      </c>
      <c r="B2">
        <v>0.51987652557484509</v>
      </c>
      <c r="C2">
        <v>0.22709159431678605</v>
      </c>
      <c r="D2">
        <v>0.25489178891464692</v>
      </c>
      <c r="E2" t="str">
        <f>IF(AND(SUM(B2:D2)&gt;1,B2-C2&gt;0),"A","B")</f>
        <v>A</v>
      </c>
      <c r="F2" cm="1">
        <f t="array" ref="F2">SUM(ABS($H$2:$J$2-B2:D2))</f>
        <v>0.49207633097698422</v>
      </c>
      <c r="H2">
        <v>0.1</v>
      </c>
      <c r="I2">
        <v>0.2</v>
      </c>
      <c r="J2">
        <v>0.3</v>
      </c>
      <c r="K2" t="str">
        <f>IF(AND(SUM(H2:J2)&gt;1,H2-I2&gt;0),"A","B")</f>
        <v>B</v>
      </c>
      <c r="L2" t="e">
        <f>VLOOKUP(F22,E2:F21,2,FALSE)</f>
        <v>#N/A</v>
      </c>
    </row>
    <row r="3" spans="1:12" x14ac:dyDescent="0.25">
      <c r="A3">
        <v>2</v>
      </c>
      <c r="B3">
        <v>0.61075620427990718</v>
      </c>
      <c r="C3">
        <v>0.18092735534164373</v>
      </c>
      <c r="D3">
        <v>0.58945040030622919</v>
      </c>
      <c r="E3" t="str">
        <f>IF(AND(SUM(B3:D3)&gt;1,B3-C3&gt;0),"A","B")</f>
        <v>A</v>
      </c>
      <c r="F3" cm="1">
        <f t="array" ref="F3">SUM(ABS($H$2:$J$2-B3:D3))</f>
        <v>0.81927924924449269</v>
      </c>
    </row>
    <row r="4" spans="1:12" x14ac:dyDescent="0.25">
      <c r="A4">
        <v>3</v>
      </c>
      <c r="B4">
        <v>8.827186402696896E-2</v>
      </c>
      <c r="C4">
        <v>0.55590440377357397</v>
      </c>
      <c r="D4">
        <v>0.33903456560108003</v>
      </c>
      <c r="E4" t="str">
        <f t="shared" ref="E3:E21" si="0">IF(AND(SUM(B4:D4)&gt;1,B4-C4&gt;0),"A","B")</f>
        <v>B</v>
      </c>
      <c r="F4" cm="1">
        <f t="array" ref="F4">SUM(ABS($H$2:$J$2-B4:D4))</f>
        <v>0.40666710534768508</v>
      </c>
    </row>
    <row r="5" spans="1:12" x14ac:dyDescent="0.25">
      <c r="A5">
        <v>4</v>
      </c>
      <c r="B5">
        <v>0.1135312455016888</v>
      </c>
      <c r="C5">
        <v>2.5547307934352781E-2</v>
      </c>
      <c r="D5">
        <v>0.92144180384174168</v>
      </c>
      <c r="E5" t="str">
        <f t="shared" si="0"/>
        <v>A</v>
      </c>
      <c r="F5" cm="1">
        <f t="array" ref="F5">SUM(ABS($H$2:$J$2-B5:D5))</f>
        <v>0.80942574140907775</v>
      </c>
    </row>
    <row r="6" spans="1:12" x14ac:dyDescent="0.25">
      <c r="A6">
        <v>5</v>
      </c>
      <c r="B6">
        <v>3.059944105920942E-2</v>
      </c>
      <c r="C6">
        <v>0.69311976693259525</v>
      </c>
      <c r="D6">
        <v>0.8341272761389481</v>
      </c>
      <c r="E6" t="str">
        <f t="shared" si="0"/>
        <v>B</v>
      </c>
      <c r="F6" cm="1">
        <f t="array" ref="F6">SUM(ABS($H$2:$J$2-B6:D6))</f>
        <v>1.0966476020123341</v>
      </c>
    </row>
    <row r="7" spans="1:12" x14ac:dyDescent="0.25">
      <c r="A7">
        <v>6</v>
      </c>
      <c r="B7">
        <v>0.82451681379600983</v>
      </c>
      <c r="C7">
        <v>0.67465116786996049</v>
      </c>
      <c r="D7">
        <v>1.5500119479420094E-2</v>
      </c>
      <c r="E7" t="str">
        <f t="shared" si="0"/>
        <v>A</v>
      </c>
      <c r="F7" cm="1">
        <f t="array" ref="F7">SUM(ABS($H$2:$J$2-B7:D7))</f>
        <v>1.4836678621865502</v>
      </c>
    </row>
    <row r="8" spans="1:12" x14ac:dyDescent="0.25">
      <c r="A8">
        <v>7</v>
      </c>
      <c r="B8">
        <v>0.11968024858029636</v>
      </c>
      <c r="C8">
        <v>0.49084084195371802</v>
      </c>
      <c r="D8">
        <v>0.6150125570811662</v>
      </c>
      <c r="E8" t="str">
        <f t="shared" si="0"/>
        <v>B</v>
      </c>
      <c r="F8" cm="1">
        <f t="array" ref="F8">SUM(ABS($H$2:$J$2-B8:D8))</f>
        <v>0.62553364761518049</v>
      </c>
    </row>
    <row r="9" spans="1:12" x14ac:dyDescent="0.25">
      <c r="A9">
        <v>8</v>
      </c>
      <c r="B9">
        <v>1.0063684725945099E-2</v>
      </c>
      <c r="C9">
        <v>0.59979656433449435</v>
      </c>
      <c r="D9">
        <v>0.29734198346034246</v>
      </c>
      <c r="E9" t="str">
        <f t="shared" si="0"/>
        <v>B</v>
      </c>
      <c r="F9" cm="1">
        <f t="array" ref="F9">SUM(ABS($H$2:$J$2-B9:D9))</f>
        <v>0.4923908961482068</v>
      </c>
    </row>
    <row r="10" spans="1:12" x14ac:dyDescent="0.25">
      <c r="A10">
        <v>9</v>
      </c>
      <c r="B10">
        <v>0.12948620596779004</v>
      </c>
      <c r="C10">
        <v>0.27591181196235082</v>
      </c>
      <c r="D10">
        <v>0.79708988351258525</v>
      </c>
      <c r="E10" t="str">
        <f t="shared" si="0"/>
        <v>B</v>
      </c>
      <c r="F10" cm="1">
        <f t="array" ref="F10">SUM(ABS($H$2:$J$2-B10:D10))</f>
        <v>0.60248790144272613</v>
      </c>
    </row>
    <row r="11" spans="1:12" x14ac:dyDescent="0.25">
      <c r="A11">
        <v>10</v>
      </c>
      <c r="B11">
        <v>0.38922382366704267</v>
      </c>
      <c r="C11">
        <v>0.99917571470365796</v>
      </c>
      <c r="D11">
        <v>0.88562326398895219</v>
      </c>
      <c r="E11" t="str">
        <f t="shared" si="0"/>
        <v>B</v>
      </c>
      <c r="F11" cm="1">
        <f t="array" ref="F11">SUM(ABS($H$2:$J$2-B11:D11))</f>
        <v>1.6740228023596531</v>
      </c>
    </row>
    <row r="12" spans="1:12" x14ac:dyDescent="0.25">
      <c r="A12">
        <v>11</v>
      </c>
      <c r="B12">
        <v>0.64812949093504713</v>
      </c>
      <c r="C12">
        <v>0.79030981488506191</v>
      </c>
      <c r="D12">
        <v>7.6467090525156212E-2</v>
      </c>
      <c r="E12" t="str">
        <f t="shared" si="0"/>
        <v>B</v>
      </c>
      <c r="F12" cm="1">
        <f t="array" ref="F12">SUM(ABS($H$2:$J$2-B12:D12))</f>
        <v>1.3619722152949527</v>
      </c>
    </row>
    <row r="13" spans="1:12" x14ac:dyDescent="0.25">
      <c r="A13">
        <v>12</v>
      </c>
      <c r="B13">
        <v>0.14048718694039797</v>
      </c>
      <c r="C13">
        <v>0.34555964709739295</v>
      </c>
      <c r="D13">
        <v>0.35709172201005623</v>
      </c>
      <c r="E13" t="str">
        <f t="shared" si="0"/>
        <v>B</v>
      </c>
      <c r="F13" cm="1">
        <f t="array" ref="F13">SUM(ABS($H$2:$J$2-B13:D13))</f>
        <v>0.24313855604784715</v>
      </c>
    </row>
    <row r="14" spans="1:12" x14ac:dyDescent="0.25">
      <c r="A14">
        <v>13</v>
      </c>
      <c r="B14">
        <v>5.6273561184598808E-3</v>
      </c>
      <c r="C14">
        <v>0.19251644264430656</v>
      </c>
      <c r="D14">
        <v>0.65589439301826868</v>
      </c>
      <c r="E14" t="str">
        <f t="shared" si="0"/>
        <v>B</v>
      </c>
      <c r="F14" cm="1">
        <f t="array" ref="F14">SUM(ABS($H$2:$J$2-B14:D14))</f>
        <v>0.45775059425550224</v>
      </c>
    </row>
    <row r="15" spans="1:12" x14ac:dyDescent="0.25">
      <c r="A15">
        <v>14</v>
      </c>
      <c r="B15">
        <v>6.3485939528180713E-2</v>
      </c>
      <c r="C15">
        <v>0.62443376474323942</v>
      </c>
      <c r="D15">
        <v>0.99676446953837061</v>
      </c>
      <c r="E15" t="str">
        <f t="shared" si="0"/>
        <v>B</v>
      </c>
      <c r="F15" cm="1">
        <f t="array" ref="F15">SUM(ABS($H$2:$J$2-B15:D15))</f>
        <v>1.1577122947534293</v>
      </c>
    </row>
    <row r="16" spans="1:12" x14ac:dyDescent="0.25">
      <c r="A16">
        <v>15</v>
      </c>
      <c r="B16">
        <v>0.43381738936783631</v>
      </c>
      <c r="C16">
        <v>0.95977677143226636</v>
      </c>
      <c r="D16">
        <v>0.12516427426627175</v>
      </c>
      <c r="E16" t="str">
        <f t="shared" si="0"/>
        <v>B</v>
      </c>
      <c r="F16" cm="1">
        <f t="array" ref="F16">SUM(ABS($H$2:$J$2-B16:D16))</f>
        <v>1.2684298865338308</v>
      </c>
    </row>
    <row r="17" spans="1:6" x14ac:dyDescent="0.25">
      <c r="A17">
        <v>16</v>
      </c>
      <c r="B17">
        <v>0.81934420407926323</v>
      </c>
      <c r="C17">
        <v>7.5127348379932513E-2</v>
      </c>
      <c r="D17">
        <v>0.48531381322308942</v>
      </c>
      <c r="E17" t="str">
        <f t="shared" si="0"/>
        <v>A</v>
      </c>
      <c r="F17" cm="1">
        <f t="array" ref="F17">SUM(ABS($H$2:$J$2-B17:D17))</f>
        <v>1.0295306689224202</v>
      </c>
    </row>
    <row r="18" spans="1:6" x14ac:dyDescent="0.25">
      <c r="A18">
        <v>17</v>
      </c>
      <c r="B18">
        <v>0.65705779901481487</v>
      </c>
      <c r="C18">
        <v>0.67813739759278757</v>
      </c>
      <c r="D18">
        <v>0.92268887366670982</v>
      </c>
      <c r="E18" t="str">
        <f t="shared" si="0"/>
        <v>B</v>
      </c>
      <c r="F18" cm="1">
        <f t="array" ref="F18">SUM(ABS($H$2:$J$2-B18:D18))</f>
        <v>1.6578840702743123</v>
      </c>
    </row>
    <row r="19" spans="1:6" x14ac:dyDescent="0.25">
      <c r="A19">
        <v>18</v>
      </c>
      <c r="B19">
        <v>0.68799489217803333</v>
      </c>
      <c r="C19">
        <v>4.7142725865352841E-2</v>
      </c>
      <c r="D19">
        <v>0.1918204598478721</v>
      </c>
      <c r="E19" t="str">
        <f t="shared" si="0"/>
        <v>B</v>
      </c>
      <c r="F19" cm="1">
        <f t="array" ref="F19">SUM(ABS($H$2:$J$2-B19:D19))</f>
        <v>0.84903170646480852</v>
      </c>
    </row>
    <row r="20" spans="1:6" x14ac:dyDescent="0.25">
      <c r="A20">
        <v>19</v>
      </c>
      <c r="B20">
        <v>0.77261870989481529</v>
      </c>
      <c r="C20">
        <v>0.1205391618972369</v>
      </c>
      <c r="D20">
        <v>0.69737304542670431</v>
      </c>
      <c r="E20" t="str">
        <f t="shared" si="0"/>
        <v>A</v>
      </c>
      <c r="F20" cm="1">
        <f t="array" ref="F20">SUM(ABS($H$2:$J$2-B20:D20))</f>
        <v>1.1494525934242827</v>
      </c>
    </row>
    <row r="21" spans="1:6" x14ac:dyDescent="0.25">
      <c r="A21">
        <v>20</v>
      </c>
      <c r="B21">
        <v>8.9444262339443359E-2</v>
      </c>
      <c r="C21">
        <v>0.8650295204345898</v>
      </c>
      <c r="D21">
        <v>0.15223949813103022</v>
      </c>
      <c r="E21" t="str">
        <f t="shared" si="0"/>
        <v>B</v>
      </c>
      <c r="F21" cm="1">
        <f t="array" ref="F21">SUM(ABS($H$2:$J$2-B21:D21))</f>
        <v>0.82334575996411608</v>
      </c>
    </row>
    <row r="22" spans="1:6" x14ac:dyDescent="0.25">
      <c r="F22">
        <f>MIN(F2:F21)</f>
        <v>0.24313855604784715</v>
      </c>
    </row>
  </sheetData>
  <pageMargins left="0.7" right="0.7" top="0.75" bottom="0.75" header="0.3" footer="0.3"/>
  <ignoredErrors>
    <ignoredError sqref="E3:E5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u n a m a</dc:creator>
  <cp:lastModifiedBy>Wahyu Purnama</cp:lastModifiedBy>
  <dcterms:created xsi:type="dcterms:W3CDTF">2015-06-05T18:17:20Z</dcterms:created>
  <dcterms:modified xsi:type="dcterms:W3CDTF">2023-10-09T08:39:20Z</dcterms:modified>
</cp:coreProperties>
</file>